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aramobility-my.sharepoint.com/personal/filipe_paiva1_astara_com/Documents/Documentos/ISUZU APV/3 - TECNICA/2 - N - F Series/BSIS _ RADAR LATERAL/"/>
    </mc:Choice>
  </mc:AlternateContent>
  <xr:revisionPtr revIDLastSave="12" documentId="13_ncr:1_{5FF8E1D5-233F-4F33-A6D0-CE1EEF771CB6}" xr6:coauthVersionLast="47" xr6:coauthVersionMax="47" xr10:uidLastSave="{120DDA89-403B-4182-93E8-CA60F6A49622}"/>
  <bookViews>
    <workbookView xWindow="-108" yWindow="-108" windowWidth="23256" windowHeight="12456" xr2:uid="{AE7F4049-2E91-4DD4-936F-DA2DCBB08EC3}"/>
  </bookViews>
  <sheets>
    <sheet name="Parameter_Input" sheetId="1" r:id="rId1"/>
    <sheet name="Parameter" sheetId="2" r:id="rId2"/>
    <sheet name="Position and Brack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 a="1"/>
  <c r="J6" i="1" s="1"/>
  <c r="J7" i="1" a="1"/>
  <c r="J7" i="1"/>
  <c r="J8" i="1" a="1"/>
  <c r="J8" i="1"/>
  <c r="L8" i="1" s="1"/>
  <c r="J9" i="1" a="1"/>
  <c r="J9" i="1"/>
  <c r="K9" i="1" s="1"/>
  <c r="J10" i="1" a="1"/>
  <c r="J10" i="1"/>
  <c r="K10" i="1" s="1"/>
  <c r="J11" i="1" a="1"/>
  <c r="J11" i="1"/>
  <c r="L11" i="1" s="1"/>
  <c r="J12" i="1" a="1"/>
  <c r="J12" i="1" s="1"/>
  <c r="J13" i="1" a="1"/>
  <c r="J13" i="1"/>
  <c r="J14" i="1" a="1"/>
  <c r="J14" i="1"/>
  <c r="J15" i="1" a="1"/>
  <c r="J15" i="1"/>
  <c r="J16" i="1" a="1"/>
  <c r="J16" i="1"/>
  <c r="K16" i="1" s="1"/>
  <c r="J17" i="1" a="1"/>
  <c r="J17" i="1"/>
  <c r="L17" i="1" s="1"/>
  <c r="J18" i="1" a="1"/>
  <c r="J18" i="1" s="1"/>
  <c r="J19" i="1" a="1"/>
  <c r="J19" i="1"/>
  <c r="J20" i="1" a="1"/>
  <c r="J20" i="1"/>
  <c r="L20" i="1" s="1"/>
  <c r="J21" i="1" a="1"/>
  <c r="J21" i="1"/>
  <c r="K21" i="1" s="1"/>
  <c r="J22" i="1" a="1"/>
  <c r="J22" i="1"/>
  <c r="K22" i="1" s="1"/>
  <c r="J23" i="1" a="1"/>
  <c r="J23" i="1" s="1"/>
  <c r="J24" i="1" a="1"/>
  <c r="J24" i="1" s="1"/>
  <c r="J25" i="1" a="1"/>
  <c r="J25" i="1"/>
  <c r="J26" i="1" a="1"/>
  <c r="J26" i="1"/>
  <c r="J27" i="1" a="1"/>
  <c r="J27" i="1"/>
  <c r="J28" i="1" a="1"/>
  <c r="J28" i="1"/>
  <c r="K28" i="1" s="1"/>
  <c r="J29" i="1" a="1"/>
  <c r="J29" i="1"/>
  <c r="K29" i="1" s="1"/>
  <c r="J30" i="1" a="1"/>
  <c r="J30" i="1" s="1"/>
  <c r="J31" i="1" a="1"/>
  <c r="J31" i="1"/>
  <c r="J32" i="1" a="1"/>
  <c r="J32" i="1"/>
  <c r="L32" i="1" s="1"/>
  <c r="J33" i="1" a="1"/>
  <c r="J33" i="1"/>
  <c r="K33" i="1" s="1"/>
  <c r="J34" i="1" a="1"/>
  <c r="J34" i="1"/>
  <c r="K34" i="1" s="1"/>
  <c r="J35" i="1" a="1"/>
  <c r="J35" i="1"/>
  <c r="L35" i="1" s="1"/>
  <c r="J36" i="1" a="1"/>
  <c r="J36" i="1" s="1"/>
  <c r="J37" i="1" a="1"/>
  <c r="J37" i="1"/>
  <c r="J38" i="1" a="1"/>
  <c r="J38" i="1"/>
  <c r="J39" i="1" a="1"/>
  <c r="J39" i="1"/>
  <c r="J40" i="1" a="1"/>
  <c r="J40" i="1"/>
  <c r="K40" i="1" s="1"/>
  <c r="J41" i="1" a="1"/>
  <c r="J41" i="1"/>
  <c r="K41" i="1" s="1"/>
  <c r="J42" i="1" a="1"/>
  <c r="J42" i="1" s="1"/>
  <c r="J43" i="1" a="1"/>
  <c r="J43" i="1"/>
  <c r="J44" i="1" a="1"/>
  <c r="J44" i="1"/>
  <c r="L44" i="1" s="1"/>
  <c r="J45" i="1" a="1"/>
  <c r="J45" i="1"/>
  <c r="K45" i="1" s="1"/>
  <c r="J46" i="1" a="1"/>
  <c r="J46" i="1"/>
  <c r="K46" i="1" s="1"/>
  <c r="J47" i="1" a="1"/>
  <c r="J47" i="1"/>
  <c r="L47" i="1" s="1"/>
  <c r="J48" i="1" a="1"/>
  <c r="J48" i="1" s="1"/>
  <c r="J49" i="1" a="1"/>
  <c r="J49" i="1"/>
  <c r="J50" i="1" a="1"/>
  <c r="J50" i="1"/>
  <c r="J51" i="1" a="1"/>
  <c r="J51" i="1"/>
  <c r="J52" i="1" a="1"/>
  <c r="J52" i="1"/>
  <c r="K52" i="1" s="1"/>
  <c r="J53" i="1" a="1"/>
  <c r="J53" i="1"/>
  <c r="K53" i="1" s="1"/>
  <c r="J54" i="1" a="1"/>
  <c r="J54" i="1" s="1"/>
  <c r="J55" i="1" a="1"/>
  <c r="J55" i="1"/>
  <c r="J56" i="1" a="1"/>
  <c r="J56" i="1"/>
  <c r="L56" i="1" s="1"/>
  <c r="J57" i="1" a="1"/>
  <c r="J57" i="1"/>
  <c r="K57" i="1" s="1"/>
  <c r="J58" i="1" a="1"/>
  <c r="J58" i="1"/>
  <c r="K58" i="1" s="1"/>
  <c r="J59" i="1" a="1"/>
  <c r="J59" i="1"/>
  <c r="K59" i="1" s="1"/>
  <c r="J60" i="1" a="1"/>
  <c r="J60" i="1" s="1"/>
  <c r="J61" i="1" a="1"/>
  <c r="J61" i="1"/>
  <c r="J62" i="1" a="1"/>
  <c r="J62" i="1"/>
  <c r="J63" i="1" a="1"/>
  <c r="J63" i="1"/>
  <c r="J64" i="1" a="1"/>
  <c r="J64" i="1"/>
  <c r="K64" i="1" s="1"/>
  <c r="J65" i="1" a="1"/>
  <c r="J65" i="1"/>
  <c r="L65" i="1" s="1"/>
  <c r="J66" i="1" a="1"/>
  <c r="J66" i="1" s="1"/>
  <c r="J67" i="1" a="1"/>
  <c r="J67" i="1"/>
  <c r="J68" i="1" a="1"/>
  <c r="J68" i="1"/>
  <c r="L68" i="1" s="1"/>
  <c r="J69" i="1" a="1"/>
  <c r="J69" i="1"/>
  <c r="K69" i="1" s="1"/>
  <c r="J70" i="1" a="1"/>
  <c r="J70" i="1"/>
  <c r="L70" i="1" s="1"/>
  <c r="J71" i="1" a="1"/>
  <c r="J71" i="1"/>
  <c r="L71" i="1" s="1"/>
  <c r="J72" i="1" a="1"/>
  <c r="J72" i="1" s="1"/>
  <c r="J73" i="1" a="1"/>
  <c r="J73" i="1"/>
  <c r="J74" i="1" a="1"/>
  <c r="J74" i="1"/>
  <c r="J75" i="1" a="1"/>
  <c r="J75" i="1"/>
  <c r="J76" i="1" a="1"/>
  <c r="J76" i="1"/>
  <c r="K76" i="1" s="1"/>
  <c r="J77" i="1" a="1"/>
  <c r="J77" i="1"/>
  <c r="K77" i="1" s="1"/>
  <c r="J78" i="1" a="1"/>
  <c r="J78" i="1" s="1"/>
  <c r="J79" i="1" a="1"/>
  <c r="J79" i="1"/>
  <c r="J80" i="1" a="1"/>
  <c r="J80" i="1"/>
  <c r="L80" i="1" s="1"/>
  <c r="J81" i="1" a="1"/>
  <c r="J81" i="1"/>
  <c r="K81" i="1" s="1"/>
  <c r="J82" i="1" a="1"/>
  <c r="J82" i="1"/>
  <c r="K82" i="1" s="1"/>
  <c r="J83" i="1" a="1"/>
  <c r="J83" i="1"/>
  <c r="K83" i="1" s="1"/>
  <c r="J84" i="1" a="1"/>
  <c r="J84" i="1" s="1"/>
  <c r="J85" i="1" a="1"/>
  <c r="J85" i="1"/>
  <c r="J86" i="1" a="1"/>
  <c r="J86" i="1"/>
  <c r="J87" i="1" a="1"/>
  <c r="J87" i="1"/>
  <c r="J88" i="1" a="1"/>
  <c r="J88" i="1"/>
  <c r="K88" i="1" s="1"/>
  <c r="J89" i="1" a="1"/>
  <c r="J89" i="1"/>
  <c r="K89" i="1" s="1"/>
  <c r="J90" i="1" a="1"/>
  <c r="J90" i="1" s="1"/>
  <c r="J91" i="1" a="1"/>
  <c r="J91" i="1"/>
  <c r="J92" i="1" a="1"/>
  <c r="J92" i="1"/>
  <c r="L92" i="1" s="1"/>
  <c r="J93" i="1" a="1"/>
  <c r="J93" i="1"/>
  <c r="K93" i="1" s="1"/>
  <c r="J94" i="1" a="1"/>
  <c r="J94" i="1"/>
  <c r="K94" i="1" s="1"/>
  <c r="J95" i="1" a="1"/>
  <c r="J95" i="1"/>
  <c r="L95" i="1" s="1"/>
  <c r="J96" i="1" a="1"/>
  <c r="J96" i="1" s="1"/>
  <c r="J97" i="1" a="1"/>
  <c r="J97" i="1"/>
  <c r="J98" i="1" a="1"/>
  <c r="J98" i="1"/>
  <c r="J99" i="1" a="1"/>
  <c r="J99" i="1"/>
  <c r="J100" i="1" a="1"/>
  <c r="J100" i="1"/>
  <c r="K100" i="1" s="1"/>
  <c r="J5" i="1" a="1"/>
  <c r="J5" i="1" s="1"/>
  <c r="L7" i="1"/>
  <c r="L13" i="1"/>
  <c r="L14" i="1"/>
  <c r="L15" i="1"/>
  <c r="L16" i="1"/>
  <c r="L19" i="1"/>
  <c r="L25" i="1"/>
  <c r="L26" i="1"/>
  <c r="L27" i="1"/>
  <c r="L28" i="1"/>
  <c r="L31" i="1"/>
  <c r="L37" i="1"/>
  <c r="L38" i="1"/>
  <c r="L39" i="1"/>
  <c r="L40" i="1"/>
  <c r="L43" i="1"/>
  <c r="L49" i="1"/>
  <c r="L50" i="1"/>
  <c r="L51" i="1"/>
  <c r="L52" i="1"/>
  <c r="L55" i="1"/>
  <c r="L61" i="1"/>
  <c r="L62" i="1"/>
  <c r="L63" i="1"/>
  <c r="L64" i="1"/>
  <c r="L67" i="1"/>
  <c r="L73" i="1"/>
  <c r="L74" i="1"/>
  <c r="L75" i="1"/>
  <c r="L76" i="1"/>
  <c r="L79" i="1"/>
  <c r="L85" i="1"/>
  <c r="L86" i="1"/>
  <c r="L87" i="1"/>
  <c r="L88" i="1"/>
  <c r="L91" i="1"/>
  <c r="L97" i="1"/>
  <c r="L98" i="1"/>
  <c r="L99" i="1"/>
  <c r="L100" i="1"/>
  <c r="K7" i="1"/>
  <c r="K8" i="1"/>
  <c r="K13" i="1"/>
  <c r="K14" i="1"/>
  <c r="K15" i="1"/>
  <c r="K19" i="1"/>
  <c r="K20" i="1"/>
  <c r="K25" i="1"/>
  <c r="K26" i="1"/>
  <c r="K27" i="1"/>
  <c r="K31" i="1"/>
  <c r="K32" i="1"/>
  <c r="K37" i="1"/>
  <c r="K38" i="1"/>
  <c r="K39" i="1"/>
  <c r="K43" i="1"/>
  <c r="K44" i="1"/>
  <c r="K49" i="1"/>
  <c r="K50" i="1"/>
  <c r="K51" i="1"/>
  <c r="K55" i="1"/>
  <c r="K56" i="1"/>
  <c r="K61" i="1"/>
  <c r="K62" i="1"/>
  <c r="K63" i="1"/>
  <c r="K67" i="1"/>
  <c r="K68" i="1"/>
  <c r="K73" i="1"/>
  <c r="K74" i="1"/>
  <c r="K75" i="1"/>
  <c r="K79" i="1"/>
  <c r="K80" i="1"/>
  <c r="K85" i="1"/>
  <c r="K86" i="1"/>
  <c r="K87" i="1"/>
  <c r="K91" i="1"/>
  <c r="K92" i="1"/>
  <c r="K97" i="1"/>
  <c r="K98" i="1"/>
  <c r="K99" i="1"/>
  <c r="E6" i="1"/>
  <c r="F6" i="1" s="1"/>
  <c r="G6" i="1"/>
  <c r="H6" i="1"/>
  <c r="I6" i="1"/>
  <c r="E7" i="1"/>
  <c r="F7" i="1"/>
  <c r="G7" i="1"/>
  <c r="H7" i="1"/>
  <c r="I7" i="1"/>
  <c r="E8" i="1"/>
  <c r="G8" i="1" s="1"/>
  <c r="E9" i="1"/>
  <c r="F9" i="1"/>
  <c r="G9" i="1"/>
  <c r="H9" i="1"/>
  <c r="I9" i="1"/>
  <c r="E10" i="1"/>
  <c r="I10" i="1" s="1"/>
  <c r="F10" i="1"/>
  <c r="G10" i="1"/>
  <c r="H10" i="1"/>
  <c r="E11" i="1"/>
  <c r="F11" i="1"/>
  <c r="G11" i="1"/>
  <c r="H11" i="1"/>
  <c r="I11" i="1"/>
  <c r="E12" i="1"/>
  <c r="F12" i="1"/>
  <c r="G12" i="1"/>
  <c r="H12" i="1"/>
  <c r="I12" i="1"/>
  <c r="E13" i="1"/>
  <c r="F13" i="1" s="1"/>
  <c r="E14" i="1"/>
  <c r="F14" i="1"/>
  <c r="G14" i="1"/>
  <c r="H14" i="1"/>
  <c r="I14" i="1"/>
  <c r="E15" i="1"/>
  <c r="H15" i="1" s="1"/>
  <c r="F15" i="1"/>
  <c r="G15" i="1"/>
  <c r="E16" i="1"/>
  <c r="F16" i="1"/>
  <c r="G16" i="1"/>
  <c r="H16" i="1"/>
  <c r="I16" i="1"/>
  <c r="E17" i="1"/>
  <c r="F17" i="1"/>
  <c r="G17" i="1"/>
  <c r="H17" i="1"/>
  <c r="I17" i="1"/>
  <c r="E18" i="1"/>
  <c r="F18" i="1" s="1"/>
  <c r="G18" i="1"/>
  <c r="H18" i="1"/>
  <c r="I18" i="1"/>
  <c r="E19" i="1"/>
  <c r="F19" i="1"/>
  <c r="G19" i="1"/>
  <c r="H19" i="1"/>
  <c r="I19" i="1"/>
  <c r="E20" i="1"/>
  <c r="G20" i="1" s="1"/>
  <c r="F20" i="1"/>
  <c r="E21" i="1"/>
  <c r="F21" i="1"/>
  <c r="G21" i="1"/>
  <c r="H21" i="1"/>
  <c r="I21" i="1"/>
  <c r="E22" i="1"/>
  <c r="I22" i="1" s="1"/>
  <c r="F22" i="1"/>
  <c r="G22" i="1"/>
  <c r="H22" i="1"/>
  <c r="E23" i="1"/>
  <c r="F23" i="1"/>
  <c r="G23" i="1"/>
  <c r="H23" i="1"/>
  <c r="I23" i="1"/>
  <c r="E24" i="1"/>
  <c r="F24" i="1"/>
  <c r="G24" i="1"/>
  <c r="H24" i="1"/>
  <c r="I24" i="1"/>
  <c r="E25" i="1"/>
  <c r="F25" i="1" s="1"/>
  <c r="E26" i="1"/>
  <c r="F26" i="1"/>
  <c r="G26" i="1"/>
  <c r="H26" i="1"/>
  <c r="I26" i="1"/>
  <c r="E27" i="1"/>
  <c r="H27" i="1" s="1"/>
  <c r="F27" i="1"/>
  <c r="G27" i="1"/>
  <c r="E28" i="1"/>
  <c r="F28" i="1"/>
  <c r="G28" i="1"/>
  <c r="H28" i="1"/>
  <c r="I28" i="1"/>
  <c r="E29" i="1"/>
  <c r="F29" i="1"/>
  <c r="G29" i="1"/>
  <c r="H29" i="1"/>
  <c r="I29" i="1"/>
  <c r="E30" i="1"/>
  <c r="F30" i="1" s="1"/>
  <c r="G30" i="1"/>
  <c r="H30" i="1"/>
  <c r="I30" i="1"/>
  <c r="E31" i="1"/>
  <c r="F31" i="1"/>
  <c r="G31" i="1"/>
  <c r="H31" i="1"/>
  <c r="I31" i="1"/>
  <c r="E32" i="1"/>
  <c r="G32" i="1" s="1"/>
  <c r="F32" i="1"/>
  <c r="E33" i="1"/>
  <c r="F33" i="1"/>
  <c r="G33" i="1"/>
  <c r="H33" i="1"/>
  <c r="I33" i="1"/>
  <c r="E34" i="1"/>
  <c r="I34" i="1" s="1"/>
  <c r="F34" i="1"/>
  <c r="G34" i="1"/>
  <c r="H34" i="1"/>
  <c r="E35" i="1"/>
  <c r="F35" i="1"/>
  <c r="G35" i="1"/>
  <c r="H35" i="1"/>
  <c r="I35" i="1"/>
  <c r="E36" i="1"/>
  <c r="F36" i="1"/>
  <c r="G36" i="1"/>
  <c r="H36" i="1"/>
  <c r="I36" i="1"/>
  <c r="E37" i="1"/>
  <c r="F37" i="1" s="1"/>
  <c r="E38" i="1"/>
  <c r="F38" i="1"/>
  <c r="G38" i="1"/>
  <c r="H38" i="1"/>
  <c r="I38" i="1"/>
  <c r="E39" i="1"/>
  <c r="H39" i="1" s="1"/>
  <c r="F39" i="1"/>
  <c r="G39" i="1"/>
  <c r="E40" i="1"/>
  <c r="F40" i="1"/>
  <c r="G40" i="1"/>
  <c r="H40" i="1"/>
  <c r="I40" i="1"/>
  <c r="E41" i="1"/>
  <c r="F41" i="1"/>
  <c r="G41" i="1"/>
  <c r="H41" i="1"/>
  <c r="I41" i="1"/>
  <c r="E42" i="1"/>
  <c r="F42" i="1" s="1"/>
  <c r="G42" i="1"/>
  <c r="H42" i="1"/>
  <c r="I42" i="1"/>
  <c r="E43" i="1"/>
  <c r="F43" i="1"/>
  <c r="G43" i="1"/>
  <c r="H43" i="1"/>
  <c r="I43" i="1"/>
  <c r="E44" i="1"/>
  <c r="G44" i="1" s="1"/>
  <c r="F44" i="1"/>
  <c r="E45" i="1"/>
  <c r="F45" i="1"/>
  <c r="G45" i="1"/>
  <c r="H45" i="1"/>
  <c r="I45" i="1"/>
  <c r="E46" i="1"/>
  <c r="I46" i="1" s="1"/>
  <c r="F46" i="1"/>
  <c r="G46" i="1"/>
  <c r="H46" i="1"/>
  <c r="E47" i="1"/>
  <c r="F47" i="1"/>
  <c r="G47" i="1"/>
  <c r="H47" i="1"/>
  <c r="I47" i="1"/>
  <c r="E48" i="1"/>
  <c r="F48" i="1"/>
  <c r="G48" i="1"/>
  <c r="H48" i="1"/>
  <c r="I48" i="1"/>
  <c r="E49" i="1"/>
  <c r="F49" i="1" s="1"/>
  <c r="E50" i="1"/>
  <c r="F50" i="1"/>
  <c r="G50" i="1"/>
  <c r="H50" i="1"/>
  <c r="I50" i="1"/>
  <c r="E51" i="1"/>
  <c r="H51" i="1" s="1"/>
  <c r="F51" i="1"/>
  <c r="G51" i="1"/>
  <c r="E52" i="1"/>
  <c r="F52" i="1"/>
  <c r="G52" i="1"/>
  <c r="H52" i="1"/>
  <c r="I52" i="1"/>
  <c r="E53" i="1"/>
  <c r="F53" i="1"/>
  <c r="G53" i="1"/>
  <c r="H53" i="1"/>
  <c r="I53" i="1"/>
  <c r="E54" i="1"/>
  <c r="F54" i="1" s="1"/>
  <c r="G54" i="1"/>
  <c r="H54" i="1"/>
  <c r="I54" i="1"/>
  <c r="E55" i="1"/>
  <c r="F55" i="1"/>
  <c r="G55" i="1"/>
  <c r="H55" i="1"/>
  <c r="I55" i="1"/>
  <c r="E56" i="1"/>
  <c r="G56" i="1" s="1"/>
  <c r="F56" i="1"/>
  <c r="E57" i="1"/>
  <c r="F57" i="1"/>
  <c r="G57" i="1"/>
  <c r="H57" i="1"/>
  <c r="I57" i="1"/>
  <c r="E58" i="1"/>
  <c r="I58" i="1" s="1"/>
  <c r="F58" i="1"/>
  <c r="G58" i="1"/>
  <c r="H58" i="1"/>
  <c r="E59" i="1"/>
  <c r="F59" i="1"/>
  <c r="G59" i="1"/>
  <c r="H59" i="1"/>
  <c r="I59" i="1"/>
  <c r="E60" i="1"/>
  <c r="F60" i="1"/>
  <c r="G60" i="1"/>
  <c r="H60" i="1"/>
  <c r="I60" i="1"/>
  <c r="E61" i="1"/>
  <c r="F61" i="1" s="1"/>
  <c r="E62" i="1"/>
  <c r="F62" i="1"/>
  <c r="G62" i="1"/>
  <c r="H62" i="1"/>
  <c r="I62" i="1"/>
  <c r="E63" i="1"/>
  <c r="H63" i="1" s="1"/>
  <c r="F63" i="1"/>
  <c r="G63" i="1"/>
  <c r="E64" i="1"/>
  <c r="F64" i="1"/>
  <c r="G64" i="1"/>
  <c r="H64" i="1"/>
  <c r="I64" i="1"/>
  <c r="E65" i="1"/>
  <c r="F65" i="1"/>
  <c r="G65" i="1"/>
  <c r="H65" i="1"/>
  <c r="I65" i="1"/>
  <c r="E66" i="1"/>
  <c r="F66" i="1" s="1"/>
  <c r="G66" i="1"/>
  <c r="H66" i="1"/>
  <c r="I66" i="1"/>
  <c r="E67" i="1"/>
  <c r="F67" i="1"/>
  <c r="G67" i="1"/>
  <c r="H67" i="1"/>
  <c r="I67" i="1"/>
  <c r="E68" i="1"/>
  <c r="G68" i="1" s="1"/>
  <c r="F68" i="1"/>
  <c r="E69" i="1"/>
  <c r="F69" i="1"/>
  <c r="G69" i="1"/>
  <c r="H69" i="1"/>
  <c r="I69" i="1"/>
  <c r="E70" i="1"/>
  <c r="I70" i="1" s="1"/>
  <c r="F70" i="1"/>
  <c r="G70" i="1"/>
  <c r="H70" i="1"/>
  <c r="E71" i="1"/>
  <c r="F71" i="1"/>
  <c r="G71" i="1"/>
  <c r="H71" i="1"/>
  <c r="I71" i="1"/>
  <c r="E72" i="1"/>
  <c r="F72" i="1"/>
  <c r="G72" i="1"/>
  <c r="H72" i="1"/>
  <c r="I72" i="1"/>
  <c r="E73" i="1"/>
  <c r="F73" i="1" s="1"/>
  <c r="E74" i="1"/>
  <c r="F74" i="1"/>
  <c r="G74" i="1"/>
  <c r="H74" i="1"/>
  <c r="I74" i="1"/>
  <c r="E75" i="1"/>
  <c r="H75" i="1" s="1"/>
  <c r="F75" i="1"/>
  <c r="G75" i="1"/>
  <c r="E76" i="1"/>
  <c r="F76" i="1"/>
  <c r="G76" i="1"/>
  <c r="H76" i="1"/>
  <c r="I76" i="1"/>
  <c r="E77" i="1"/>
  <c r="F77" i="1"/>
  <c r="G77" i="1"/>
  <c r="H77" i="1"/>
  <c r="I77" i="1"/>
  <c r="E78" i="1"/>
  <c r="F78" i="1" s="1"/>
  <c r="G78" i="1"/>
  <c r="H78" i="1"/>
  <c r="I78" i="1"/>
  <c r="E79" i="1"/>
  <c r="F79" i="1"/>
  <c r="G79" i="1"/>
  <c r="H79" i="1"/>
  <c r="I79" i="1"/>
  <c r="E80" i="1"/>
  <c r="G80" i="1" s="1"/>
  <c r="F80" i="1"/>
  <c r="E81" i="1"/>
  <c r="F81" i="1"/>
  <c r="G81" i="1"/>
  <c r="H81" i="1"/>
  <c r="I81" i="1"/>
  <c r="E82" i="1"/>
  <c r="I82" i="1" s="1"/>
  <c r="F82" i="1"/>
  <c r="G82" i="1"/>
  <c r="H82" i="1"/>
  <c r="E83" i="1"/>
  <c r="F83" i="1"/>
  <c r="G83" i="1"/>
  <c r="H83" i="1"/>
  <c r="I83" i="1"/>
  <c r="E84" i="1"/>
  <c r="F84" i="1"/>
  <c r="G84" i="1"/>
  <c r="H84" i="1"/>
  <c r="I84" i="1"/>
  <c r="E85" i="1"/>
  <c r="F85" i="1" s="1"/>
  <c r="E86" i="1"/>
  <c r="F86" i="1"/>
  <c r="G86" i="1"/>
  <c r="H86" i="1"/>
  <c r="I86" i="1"/>
  <c r="E87" i="1"/>
  <c r="H87" i="1" s="1"/>
  <c r="F87" i="1"/>
  <c r="G87" i="1"/>
  <c r="E88" i="1"/>
  <c r="F88" i="1"/>
  <c r="G88" i="1"/>
  <c r="H88" i="1"/>
  <c r="I88" i="1"/>
  <c r="E89" i="1"/>
  <c r="F89" i="1"/>
  <c r="G89" i="1"/>
  <c r="H89" i="1"/>
  <c r="I89" i="1"/>
  <c r="E90" i="1"/>
  <c r="F90" i="1" s="1"/>
  <c r="G90" i="1"/>
  <c r="H90" i="1"/>
  <c r="I90" i="1"/>
  <c r="E91" i="1"/>
  <c r="F91" i="1"/>
  <c r="G91" i="1"/>
  <c r="H91" i="1"/>
  <c r="I91" i="1"/>
  <c r="E92" i="1"/>
  <c r="G92" i="1" s="1"/>
  <c r="F92" i="1"/>
  <c r="E93" i="1"/>
  <c r="F93" i="1"/>
  <c r="G93" i="1"/>
  <c r="H93" i="1"/>
  <c r="I93" i="1"/>
  <c r="E94" i="1"/>
  <c r="I94" i="1" s="1"/>
  <c r="F94" i="1"/>
  <c r="G94" i="1"/>
  <c r="H94" i="1"/>
  <c r="E95" i="1"/>
  <c r="F95" i="1"/>
  <c r="G95" i="1"/>
  <c r="H95" i="1"/>
  <c r="I95" i="1"/>
  <c r="E96" i="1"/>
  <c r="F96" i="1"/>
  <c r="G96" i="1"/>
  <c r="H96" i="1"/>
  <c r="I96" i="1"/>
  <c r="E97" i="1"/>
  <c r="F97" i="1" s="1"/>
  <c r="E98" i="1"/>
  <c r="F98" i="1"/>
  <c r="G98" i="1"/>
  <c r="H98" i="1"/>
  <c r="I98" i="1"/>
  <c r="E99" i="1"/>
  <c r="H99" i="1" s="1"/>
  <c r="F99" i="1"/>
  <c r="G99" i="1"/>
  <c r="E100" i="1"/>
  <c r="F100" i="1"/>
  <c r="G100" i="1"/>
  <c r="H100" i="1"/>
  <c r="I100" i="1"/>
  <c r="E5" i="1"/>
  <c r="H5" i="1" s="1"/>
  <c r="K78" i="1" l="1"/>
  <c r="L78" i="1"/>
  <c r="K12" i="1"/>
  <c r="L12" i="1"/>
  <c r="K84" i="1"/>
  <c r="L84" i="1"/>
  <c r="K90" i="1"/>
  <c r="L90" i="1"/>
  <c r="K96" i="1"/>
  <c r="L96" i="1"/>
  <c r="K24" i="1"/>
  <c r="L24" i="1"/>
  <c r="K30" i="1"/>
  <c r="L30" i="1"/>
  <c r="L23" i="1"/>
  <c r="K23" i="1"/>
  <c r="K36" i="1"/>
  <c r="L36" i="1"/>
  <c r="K42" i="1"/>
  <c r="L42" i="1"/>
  <c r="K48" i="1"/>
  <c r="L48" i="1"/>
  <c r="K54" i="1"/>
  <c r="L54" i="1"/>
  <c r="K18" i="1"/>
  <c r="L18" i="1"/>
  <c r="K60" i="1"/>
  <c r="L60" i="1"/>
  <c r="K66" i="1"/>
  <c r="L66" i="1"/>
  <c r="K72" i="1"/>
  <c r="L72" i="1"/>
  <c r="K6" i="1"/>
  <c r="L6" i="1"/>
  <c r="L89" i="1"/>
  <c r="L77" i="1"/>
  <c r="L53" i="1"/>
  <c r="L41" i="1"/>
  <c r="L29" i="1"/>
  <c r="K65" i="1"/>
  <c r="K17" i="1"/>
  <c r="L83" i="1"/>
  <c r="L59" i="1"/>
  <c r="K95" i="1"/>
  <c r="K71" i="1"/>
  <c r="K47" i="1"/>
  <c r="K35" i="1"/>
  <c r="K11" i="1"/>
  <c r="L94" i="1"/>
  <c r="L82" i="1"/>
  <c r="L58" i="1"/>
  <c r="L46" i="1"/>
  <c r="L34" i="1"/>
  <c r="L22" i="1"/>
  <c r="L10" i="1"/>
  <c r="K70" i="1"/>
  <c r="L93" i="1"/>
  <c r="L81" i="1"/>
  <c r="L69" i="1"/>
  <c r="L57" i="1"/>
  <c r="L45" i="1"/>
  <c r="L33" i="1"/>
  <c r="L21" i="1"/>
  <c r="L9" i="1"/>
  <c r="K5" i="1"/>
  <c r="L5" i="1"/>
  <c r="F8" i="1"/>
  <c r="I97" i="1"/>
  <c r="I73" i="1"/>
  <c r="I37" i="1"/>
  <c r="I13" i="1"/>
  <c r="H85" i="1"/>
  <c r="I80" i="1"/>
  <c r="H49" i="1"/>
  <c r="I44" i="1"/>
  <c r="I20" i="1"/>
  <c r="H13" i="1"/>
  <c r="I8" i="1"/>
  <c r="I99" i="1"/>
  <c r="G97" i="1"/>
  <c r="H92" i="1"/>
  <c r="I87" i="1"/>
  <c r="G85" i="1"/>
  <c r="H80" i="1"/>
  <c r="I75" i="1"/>
  <c r="G73" i="1"/>
  <c r="H68" i="1"/>
  <c r="I63" i="1"/>
  <c r="G61" i="1"/>
  <c r="H56" i="1"/>
  <c r="I51" i="1"/>
  <c r="G49" i="1"/>
  <c r="H44" i="1"/>
  <c r="I39" i="1"/>
  <c r="G37" i="1"/>
  <c r="H32" i="1"/>
  <c r="I27" i="1"/>
  <c r="G25" i="1"/>
  <c r="H20" i="1"/>
  <c r="I15" i="1"/>
  <c r="G13" i="1"/>
  <c r="H8" i="1"/>
  <c r="I85" i="1"/>
  <c r="I61" i="1"/>
  <c r="I49" i="1"/>
  <c r="I25" i="1"/>
  <c r="H97" i="1"/>
  <c r="I92" i="1"/>
  <c r="H73" i="1"/>
  <c r="I68" i="1"/>
  <c r="H61" i="1"/>
  <c r="I56" i="1"/>
  <c r="H37" i="1"/>
  <c r="I32" i="1"/>
  <c r="H25" i="1"/>
  <c r="I5" i="1"/>
  <c r="F5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<sst xmlns="http://schemas.openxmlformats.org/spreadsheetml/2006/main" count="79" uniqueCount="71">
  <si>
    <t>SRRFL</t>
  </si>
  <si>
    <t>SRRFR</t>
  </si>
  <si>
    <t>SRRFC</t>
  </si>
  <si>
    <t>SRRSIDEP</t>
  </si>
  <si>
    <t>SRRSIDES</t>
  </si>
  <si>
    <t>VIN No.</t>
    <phoneticPr fontId="1"/>
  </si>
  <si>
    <t>Body Width [mm]</t>
    <phoneticPr fontId="1"/>
  </si>
  <si>
    <t>Whole Base [mm]</t>
    <phoneticPr fontId="1"/>
  </si>
  <si>
    <t>Please input vehicle information.</t>
    <phoneticPr fontId="3"/>
  </si>
  <si>
    <t>H</t>
    <phoneticPr fontId="1"/>
  </si>
  <si>
    <t>K</t>
    <phoneticPr fontId="1"/>
  </si>
  <si>
    <t>J</t>
    <phoneticPr fontId="1"/>
  </si>
  <si>
    <t>L</t>
    <phoneticPr fontId="1"/>
  </si>
  <si>
    <t>M</t>
    <phoneticPr fontId="1"/>
  </si>
  <si>
    <t>N</t>
    <phoneticPr fontId="1"/>
  </si>
  <si>
    <t>Q</t>
    <phoneticPr fontId="1"/>
  </si>
  <si>
    <t>Automatic Calculation</t>
    <phoneticPr fontId="1"/>
  </si>
  <si>
    <t>sample</t>
    <phoneticPr fontId="1"/>
  </si>
  <si>
    <t>Parts No.</t>
    <phoneticPr fontId="1"/>
  </si>
  <si>
    <t>Braket</t>
    <phoneticPr fontId="1"/>
  </si>
  <si>
    <t>Harness</t>
    <phoneticPr fontId="1"/>
  </si>
  <si>
    <t>No.</t>
    <phoneticPr fontId="1"/>
  </si>
  <si>
    <t>Parts Number</t>
    <phoneticPr fontId="1"/>
  </si>
  <si>
    <t>OPT</t>
    <phoneticPr fontId="1"/>
  </si>
  <si>
    <t>Range of rear body width</t>
    <phoneticPr fontId="1"/>
  </si>
  <si>
    <t>Qty</t>
    <phoneticPr fontId="1"/>
  </si>
  <si>
    <t>Remarks</t>
    <phoneticPr fontId="1"/>
  </si>
  <si>
    <t>Bracket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</si>
  <si>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-1</t>
    </r>
    <phoneticPr fontId="1"/>
  </si>
  <si>
    <t>8978715561</t>
    <phoneticPr fontId="1"/>
  </si>
  <si>
    <t>7552271801</t>
    <phoneticPr fontId="1"/>
  </si>
  <si>
    <t>EMD</t>
    <phoneticPr fontId="1"/>
  </si>
  <si>
    <t>2,195~2,249</t>
    <phoneticPr fontId="1"/>
  </si>
  <si>
    <t>Option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</si>
  <si>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-2</t>
    </r>
    <phoneticPr fontId="1"/>
  </si>
  <si>
    <t>8978757211</t>
    <phoneticPr fontId="1"/>
  </si>
  <si>
    <t>7552271811</t>
    <phoneticPr fontId="1"/>
  </si>
  <si>
    <t>EME</t>
    <phoneticPr fontId="1"/>
  </si>
  <si>
    <t>2,250~2,299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</si>
  <si>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-3</t>
    </r>
  </si>
  <si>
    <t>8978715601</t>
    <phoneticPr fontId="1"/>
  </si>
  <si>
    <t>7552271821</t>
    <phoneticPr fontId="1"/>
  </si>
  <si>
    <t>EMF</t>
    <phoneticPr fontId="1"/>
  </si>
  <si>
    <t>2,300~2,349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</si>
  <si>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-4</t>
    </r>
  </si>
  <si>
    <t>8978757221</t>
    <phoneticPr fontId="1"/>
  </si>
  <si>
    <t>7552271831</t>
    <phoneticPr fontId="1"/>
  </si>
  <si>
    <t>EMG</t>
    <phoneticPr fontId="1"/>
  </si>
  <si>
    <t>2,350~2,384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</si>
  <si>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-5</t>
    </r>
  </si>
  <si>
    <t>8978715581</t>
    <phoneticPr fontId="1"/>
  </si>
  <si>
    <t>7552271841</t>
    <phoneticPr fontId="1"/>
  </si>
  <si>
    <t>EMH</t>
    <phoneticPr fontId="1"/>
  </si>
  <si>
    <t>2,385~2,449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</si>
  <si>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-6</t>
    </r>
  </si>
  <si>
    <t>8978757241</t>
    <phoneticPr fontId="1"/>
  </si>
  <si>
    <t>7552271851</t>
    <phoneticPr fontId="1"/>
  </si>
  <si>
    <t>EMJ</t>
    <phoneticPr fontId="1"/>
  </si>
  <si>
    <t>2,450~2,499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</si>
  <si>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-7</t>
    </r>
  </si>
  <si>
    <t>8978715591</t>
    <phoneticPr fontId="1"/>
  </si>
  <si>
    <t>7552271861</t>
    <phoneticPr fontId="1"/>
  </si>
  <si>
    <t>EMK</t>
    <phoneticPr fontId="1"/>
  </si>
  <si>
    <t>2,500~2,600</t>
    <phoneticPr fontId="1"/>
  </si>
  <si>
    <t>Standard for Portugal</t>
    <phoneticPr fontId="1"/>
  </si>
  <si>
    <r>
      <rPr>
        <sz val="11"/>
        <color theme="1"/>
        <rFont val="Meiryo UI"/>
        <family val="2"/>
        <charset val="128"/>
      </rPr>
      <t>①</t>
    </r>
    <r>
      <rPr>
        <sz val="11"/>
        <color theme="1"/>
        <rFont val="Calibri"/>
        <family val="2"/>
      </rPr>
      <t>-8</t>
    </r>
  </si>
  <si>
    <t>8978757231</t>
    <phoneticPr fontId="1"/>
  </si>
  <si>
    <t>7552271871</t>
    <phoneticPr fontId="1"/>
  </si>
  <si>
    <t>ERZ</t>
    <phoneticPr fontId="1"/>
  </si>
  <si>
    <t>2,550~2,600</t>
    <phoneticPr fontId="1"/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</si>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</sst>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Calibri"/>
      <family val="2"/>
    </font>
    <font>
      <sz val="6"/>
      <name val="Aptos Narrow"/>
      <family val="2"/>
      <charset val="128"/>
      <scheme val="minor"/>
    </font>
    <font>
      <sz val="11"/>
      <color theme="0" tint="-0.249977111117893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3" borderId="0" xfId="0" applyFont="1" applyFill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quotePrefix="1" applyFont="1" applyBorder="1">
      <alignment vertical="center"/>
    </xf>
    <xf numFmtId="0" fontId="5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quotePrefix="1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2" fillId="5" borderId="0" xfId="0" applyFont="1" applyFill="1" applyAlignment="1">
      <alignment horizontal="centerContinuous" vertical="center"/>
    </xf>
    <xf numFmtId="0" fontId="6" fillId="5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679604</xdr:colOff>
      <xdr:row>12</xdr:row>
      <xdr:rowOff>143435</xdr:rowOff>
    </xdr:from>
    <xdr:to>
      <xdr:col>18</xdr:col>
      <xdr:colOff>440715</xdr:colOff>
      <xdr:row>30</xdr:row>
      <xdr:rowOff>62753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EC45737-04BC-BD43-7CB5-875D2201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9204" y="2366682"/>
          <a:ext cx="3194593" cy="3146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737056</xdr:colOff>
      <xdr:row>26</xdr:row>
      <xdr:rowOff>25656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FC2962-6BF5-147F-9FDE-01ADA722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65056" cy="4978656"/>
        </a:xfrm>
        <a:prstGeom prst="rect">
          <a:avLst/>
        </a:prstGeom>
      </xdr:spPr>
    </xdr:pic>
    <xdr:clientData/>
  </xdr:twoCellAnchor>
  <xdr:twoCellAnchor>
    <xdr:from>
      <xdr:col>2</xdr:col>
      <xdr:colOff>590550</xdr:colOff>
      <xdr:row>8</xdr:row>
      <xdr:rowOff>25400</xdr:rowOff>
    </xdr:from>
    <xdr:to>
      <xdr:col>3</xdr:col>
      <xdr:colOff>342900</xdr:colOff>
      <xdr:row>21</xdr:row>
      <xdr:rowOff>107950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0530BD-F524-A529-F99A-C01508D9CD81}"/>
            </a:ext>
          </a:extLst>
        </xdr:cNvPr>
        <xdr:cNvSpPr/>
      </xdr:nvSpPr>
      <xdr:spPr>
        <a:xfrm>
          <a:off x="2216150" y="1549400"/>
          <a:ext cx="565150" cy="255905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431800</xdr:colOff>
      <xdr:row>5</xdr:row>
      <xdr:rowOff>31750</xdr:rowOff>
    </xdr:from>
    <xdr:to>
      <xdr:col>5</xdr:col>
      <xdr:colOff>400050</xdr:colOff>
      <xdr:row>8</xdr:row>
      <xdr:rowOff>127000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79A81060-F879-05B8-DF2E-3160186211BF}"/>
            </a:ext>
          </a:extLst>
        </xdr:cNvPr>
        <xdr:cNvSpPr/>
      </xdr:nvSpPr>
      <xdr:spPr>
        <a:xfrm>
          <a:off x="2870200" y="984250"/>
          <a:ext cx="1593850" cy="666750"/>
        </a:xfrm>
        <a:prstGeom prst="wedgeRectCallout">
          <a:avLst>
            <a:gd name="adj1" fmla="val -51909"/>
            <a:gd name="adj2" fmla="val 844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Standard</a:t>
          </a:r>
          <a:r>
            <a:rPr kumimoji="1" lang="en-US" altLang="ja-JP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Parameter:</a:t>
          </a:r>
        </a:p>
        <a:p>
          <a:pPr algn="l"/>
          <a:r>
            <a:rPr kumimoji="1" lang="en-US" altLang="ja-JP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007B</a:t>
          </a:r>
          <a:r>
            <a:rPr kumimoji="1" lang="en-US" altLang="ja-JP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 </a:t>
          </a:r>
          <a:r>
            <a:rPr kumimoji="1" lang="en-US" altLang="ja-JP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007E</a:t>
          </a:r>
          <a:r>
            <a:rPr kumimoji="1" lang="en-US" altLang="ja-JP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or </a:t>
          </a:r>
          <a:r>
            <a:rPr kumimoji="1" lang="en-US" altLang="ja-JP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0081</a:t>
          </a:r>
          <a:r>
            <a:rPr kumimoji="1" lang="en-US" altLang="ja-JP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depending on WB</a:t>
          </a:r>
          <a:endParaRPr kumimoji="1" lang="ja-JP" altLang="en-US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321503</xdr:colOff>
      <xdr:row>25</xdr:row>
      <xdr:rowOff>110071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8C8E88-8AF4-4307-80D7-90A90248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98303" cy="4872571"/>
        </a:xfrm>
        <a:prstGeom prst="rect">
          <a:avLst/>
        </a:prstGeom>
      </xdr:spPr>
    </xdr:pic>
    <xdr:clientData/>
  </xdr:twoCellAnchor>
  <xdr:twoCellAnchor>
    <xdr:from>
      <xdr:col>0</xdr:col>
      <xdr:colOff>358588</xdr:colOff>
      <xdr:row>9</xdr:row>
      <xdr:rowOff>25026</xdr:rowOff>
    </xdr:from>
    <xdr:to>
      <xdr:col>5</xdr:col>
      <xdr:colOff>724647</xdr:colOff>
      <xdr:row>15</xdr:row>
      <xdr:rowOff>133723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1B27605-8808-4734-B15F-EFFBDFDAA78E}"/>
            </a:ext>
          </a:extLst>
        </xdr:cNvPr>
        <xdr:cNvSpPr/>
      </xdr:nvSpPr>
      <xdr:spPr>
        <a:xfrm>
          <a:off x="358588" y="1739526"/>
          <a:ext cx="4430059" cy="125169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RHD</a:t>
          </a:r>
          <a:endParaRPr kumimoji="1" lang="ja-JP" altLang="en-US" sz="1400" b="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799352</xdr:colOff>
      <xdr:row>18</xdr:row>
      <xdr:rowOff>64994</xdr:rowOff>
    </xdr:from>
    <xdr:to>
      <xdr:col>11</xdr:col>
      <xdr:colOff>748552</xdr:colOff>
      <xdr:row>32</xdr:row>
      <xdr:rowOff>25772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F422BCBE-8F2E-4C1A-A535-CEF791E86772}"/>
            </a:ext>
          </a:extLst>
        </xdr:cNvPr>
        <xdr:cNvSpPr/>
      </xdr:nvSpPr>
      <xdr:spPr>
        <a:xfrm>
          <a:off x="5676152" y="3493994"/>
          <a:ext cx="4013200" cy="2627778"/>
        </a:xfrm>
        <a:prstGeom prst="wedgeRectCallout">
          <a:avLst>
            <a:gd name="adj1" fmla="val -66612"/>
            <a:gd name="adj2" fmla="val -964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Parts Numbers of Brakcet</a:t>
          </a:r>
          <a:r>
            <a:rPr kumimoji="1" lang="en-US" altLang="ja-JP" sz="14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and Harness are different by range of rear body width.</a:t>
          </a:r>
        </a:p>
        <a:p>
          <a:pPr algn="l"/>
          <a:r>
            <a:rPr kumimoji="1" lang="en-US" altLang="ja-JP" sz="1400" b="1" baseline="0">
              <a:solidFill>
                <a:srgbClr val="FFFF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standard Parts Numbers in </a:t>
          </a:r>
          <a:r>
            <a:rPr kumimoji="1" lang="ja-JP" altLang="en-US" sz="1400" b="1" baseline="0">
              <a:solidFill>
                <a:srgbClr val="FFFF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①</a:t>
          </a:r>
          <a:r>
            <a:rPr kumimoji="1" lang="en-US" altLang="ja-JP" sz="1400" b="1" baseline="0">
              <a:solidFill>
                <a:srgbClr val="FFFF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-7 EMK.</a:t>
          </a:r>
        </a:p>
        <a:p>
          <a:pPr algn="l"/>
          <a:endParaRPr kumimoji="1" lang="en-US" altLang="ja-JP" sz="14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kumimoji="1" lang="en-US" altLang="ja-JP" sz="1400">
              <a:latin typeface="Calibri" panose="020F0502020204030204" pitchFamily="34" charset="0"/>
              <a:cs typeface="Calibri" panose="020F0502020204030204" pitchFamily="34" charset="0"/>
            </a:rPr>
            <a:t>Bracket: 8978715591</a:t>
          </a:r>
        </a:p>
        <a:p>
          <a:pPr algn="l"/>
          <a:r>
            <a:rPr kumimoji="1" lang="en-US" altLang="ja-JP" sz="1400">
              <a:latin typeface="Calibri" panose="020F0502020204030204" pitchFamily="34" charset="0"/>
              <a:cs typeface="Calibri" panose="020F0502020204030204" pitchFamily="34" charset="0"/>
            </a:rPr>
            <a:t>Harness:</a:t>
          </a:r>
          <a:r>
            <a:rPr kumimoji="1" lang="en-US" altLang="ja-JP" sz="1400" baseline="0">
              <a:latin typeface="Calibri" panose="020F0502020204030204" pitchFamily="34" charset="0"/>
              <a:cs typeface="Calibri" panose="020F0502020204030204" pitchFamily="34" charset="0"/>
            </a:rPr>
            <a:t> 7552271861</a:t>
          </a:r>
        </a:p>
        <a:p>
          <a:pPr algn="l"/>
          <a:endParaRPr kumimoji="1" lang="en-US" altLang="ja-JP" sz="1400" baseline="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/>
          <a:r>
            <a:rPr kumimoji="1" lang="en-US" altLang="ja-JP" sz="1400" baseline="0">
              <a:latin typeface="Calibri" panose="020F0502020204030204" pitchFamily="34" charset="0"/>
              <a:cs typeface="Calibri" panose="020F0502020204030204" pitchFamily="34" charset="0"/>
            </a:rPr>
            <a:t>These Parts Numbers (</a:t>
          </a:r>
          <a:r>
            <a:rPr kumimoji="1" lang="ja-JP" altLang="en-US" sz="1400" baseline="0">
              <a:latin typeface="Calibri" panose="020F0502020204030204" pitchFamily="34" charset="0"/>
              <a:cs typeface="Calibri" panose="020F0502020204030204" pitchFamily="34" charset="0"/>
            </a:rPr>
            <a:t>①</a:t>
          </a:r>
          <a:r>
            <a:rPr kumimoji="1" lang="en-US" altLang="ja-JP" sz="1400" baseline="0">
              <a:latin typeface="Calibri" panose="020F0502020204030204" pitchFamily="34" charset="0"/>
              <a:cs typeface="Calibri" panose="020F0502020204030204" pitchFamily="34" charset="0"/>
            </a:rPr>
            <a:t>-7) are installed to chassis.</a:t>
          </a:r>
        </a:p>
        <a:p>
          <a:pPr algn="l"/>
          <a:r>
            <a:rPr kumimoji="1" lang="en-US" altLang="ja-JP" sz="1400" baseline="0">
              <a:latin typeface="Calibri" panose="020F0502020204030204" pitchFamily="34" charset="0"/>
              <a:cs typeface="Calibri" panose="020F0502020204030204" pitchFamily="34" charset="0"/>
            </a:rPr>
            <a:t>If the brakcet other than standared one is needed, please purchase brakcet in spare parts route.</a:t>
          </a:r>
          <a:endParaRPr kumimoji="1" lang="ja-JP" altLang="en-US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260350</xdr:colOff>
      <xdr:row>23</xdr:row>
      <xdr:rowOff>114300</xdr:rowOff>
    </xdr:from>
    <xdr:to>
      <xdr:col>6</xdr:col>
      <xdr:colOff>24936</xdr:colOff>
      <xdr:row>24</xdr:row>
      <xdr:rowOff>78067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CF45434-F85A-4ABF-AD7F-1A5D84A2F97F}"/>
            </a:ext>
          </a:extLst>
        </xdr:cNvPr>
        <xdr:cNvSpPr/>
      </xdr:nvSpPr>
      <xdr:spPr>
        <a:xfrm>
          <a:off x="260350" y="4495800"/>
          <a:ext cx="4641386" cy="1542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5C7B-08AB-402C-A9FE-865090C7DE5A}">
  <dimension ref="A2:U100"/>
  <sheetViews>
    <sheetView tabSelected="1" zoomScale="85" zoomScaleNormal="85" workbookViewId="0">
      <pane ySplit="4" topLeftCell="A5" activePane="bottomLeft" state="frozen"/>
      <selection pane="bottomLeft" activeCell="B5" sqref="B5"/>
    </sheetView>
  </sheetViews>
  <sheetFormatPr defaultColWidth="9.1796875" defaultRowHeight="14.4" x14ac:dyDescent="0.3"/>
  <cols>
    <col min="1" max="1" width="9.1796875" style="1"/>
    <col min="2" max="2" width="20.90625" style="1" customWidth="1"/>
    <col min="3" max="3" width="15.453125" style="1" bestFit="1" customWidth="1"/>
    <col min="4" max="4" width="15.1796875" style="1" bestFit="1" customWidth="1"/>
    <col min="5" max="14" width="9.1796875" style="1"/>
    <col min="15" max="15" width="4.1796875" style="1" bestFit="1" customWidth="1"/>
    <col min="16" max="19" width="9.1796875" style="1"/>
    <col min="20" max="20" width="3.6328125" style="1" bestFit="1" customWidth="1"/>
    <col min="21" max="21" width="15.81640625" style="1" bestFit="1" customWidth="1"/>
    <col min="22" max="16384" width="9.1796875" style="1"/>
  </cols>
  <sheetData>
    <row r="2" spans="1:21" x14ac:dyDescent="0.3">
      <c r="B2" s="6" t="s">
        <v>8</v>
      </c>
    </row>
    <row r="3" spans="1:21" x14ac:dyDescent="0.3">
      <c r="E3" s="5" t="s">
        <v>16</v>
      </c>
      <c r="F3" s="5"/>
      <c r="G3" s="5"/>
      <c r="H3" s="5"/>
      <c r="I3" s="5"/>
      <c r="J3" s="18"/>
      <c r="K3" s="18" t="s">
        <v>18</v>
      </c>
      <c r="L3" s="18"/>
      <c r="O3" s="20" t="s">
        <v>21</v>
      </c>
      <c r="P3" s="20" t="s">
        <v>22</v>
      </c>
      <c r="Q3" s="20"/>
      <c r="R3" s="20" t="s">
        <v>23</v>
      </c>
      <c r="S3" s="21" t="s">
        <v>24</v>
      </c>
      <c r="T3" s="20" t="s">
        <v>25</v>
      </c>
      <c r="U3" s="20" t="s">
        <v>26</v>
      </c>
    </row>
    <row r="4" spans="1:21" s="3" customFormat="1" x14ac:dyDescent="0.3">
      <c r="B4" s="2" t="s">
        <v>5</v>
      </c>
      <c r="C4" s="2" t="s">
        <v>7</v>
      </c>
      <c r="D4" s="2" t="s">
        <v>6</v>
      </c>
      <c r="E4" s="2" t="s">
        <v>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21</v>
      </c>
      <c r="K4" s="2" t="s">
        <v>19</v>
      </c>
      <c r="L4" s="2" t="s">
        <v>20</v>
      </c>
      <c r="O4" s="20"/>
      <c r="P4" s="2" t="s">
        <v>27</v>
      </c>
      <c r="Q4" s="2" t="s">
        <v>20</v>
      </c>
      <c r="R4" s="20"/>
      <c r="S4" s="21"/>
      <c r="T4" s="20"/>
      <c r="U4" s="20"/>
    </row>
    <row r="5" spans="1:21" ht="15" x14ac:dyDescent="0.3">
      <c r="A5" s="7" t="s">
        <v>17</v>
      </c>
      <c r="B5" s="8"/>
      <c r="C5" s="8" t="s">
        <v>70</v>
      </c>
      <c r="D5" s="8">
        <v>2556</v>
      </c>
      <c r="E5" s="10" t="str">
        <f>IF(AND(OR(C5="H",C5="J",C5="K",C5="L"),D5&gt;=2195,D5&lt;2350),"0079",
IF(AND(OR(C5="H",C5="J",C5="K",C5="L"),D5&gt;=2350,D5&lt;2450),"007A",
IF(AND(OR(C5="H",C5="J",C5="K",C5="L"),D5&gt;=2450,D5&lt;=2600),"007B",
IF(AND(OR(C5="M",C5="N",C5="Q"),D5&gt;=2195,D5&lt;2350),"007C",
IF(AND(OR(C5="M",C5="N",C5="Q"),D5&gt;=2350,D5&lt;2450),"007D",
IF(AND(OR(C5="M",C5="N",C5="Q"),D5&gt;=2450,D5&lt;=2600),"007E",
""))))))</f>
        <v>007B</v>
      </c>
      <c r="F5" s="10" t="str">
        <f>$E5</f>
        <v>007B</v>
      </c>
      <c r="G5" s="10" t="str">
        <f>$E5</f>
        <v>007B</v>
      </c>
      <c r="H5" s="10" t="str">
        <f>$E5</f>
        <v>007B</v>
      </c>
      <c r="I5" s="10" t="str">
        <f t="shared" ref="I5:I68" si="0">$E5</f>
        <v>007B</v>
      </c>
      <c r="J5" s="19" t="str" cm="1">
        <f t="array" ref="J5">IFERROR(_xlfn.IFS(
  AND(D5&gt;=2195, D5&lt;=2249), "①-1",
  AND(D5&gt;=2250, D5&lt;=2299), "①-2",
  AND(D5&gt;=2300, D5&lt;=2349), "①-3",
  AND(D5&gt;=2350, D5&lt;=2384), "①-4",
  AND(D5&gt;=2385, D5&lt;=2449), "①-5",
  AND(D5&gt;=2450, D5&lt;=2499), "①-6",
  AND(D5&gt;=2500, D5&lt;=2600), "①-7",
  AND(D5&gt;=2550, D5&lt;=2600), "①-8"
),"")</f>
        <v>①-7</v>
      </c>
      <c r="K5" s="19" t="str">
        <f>IFERROR(VLOOKUP(J5,$O$5:$Q$12,2,0),"")</f>
        <v>8978715591</v>
      </c>
      <c r="L5" s="19" t="str">
        <f>IFERROR(VLOOKUP(J5,$O$5:$Q$12,3,0),"")</f>
        <v>7552271861</v>
      </c>
      <c r="N5" s="4" t="s">
        <v>9</v>
      </c>
      <c r="O5" s="11" t="s">
        <v>28</v>
      </c>
      <c r="P5" s="12" t="s">
        <v>29</v>
      </c>
      <c r="Q5" s="12" t="s">
        <v>30</v>
      </c>
      <c r="R5" s="2" t="s">
        <v>31</v>
      </c>
      <c r="S5" s="2" t="s">
        <v>32</v>
      </c>
      <c r="T5" s="11">
        <v>1</v>
      </c>
      <c r="U5" s="13" t="s">
        <v>33</v>
      </c>
    </row>
    <row r="6" spans="1:21" ht="15" x14ac:dyDescent="0.3">
      <c r="B6" s="9"/>
      <c r="C6" s="9"/>
      <c r="D6" s="9"/>
      <c r="E6" s="10" t="str">
        <f t="shared" ref="E6:E69" si="1">IF(AND(OR(C6="H",C6="J",C6="K",C6="L"),D6&gt;=2195,D6&lt;2350),"0079",
IF(AND(OR(C6="H",C6="J",C6="K",C6="L"),D6&gt;=2350,D6&lt;2450),"007A",
IF(AND(OR(C6="H",C6="J",C6="K",C6="L"),D6&gt;=2450,D6&lt;=2600),"007B",
IF(AND(OR(C6="M",C6="N",C6="Q"),D6&gt;=2195,D6&lt;2350),"007C",
IF(AND(OR(C6="M",C6="N",C6="Q"),D6&gt;=2350,D6&lt;2450),"007D",
IF(AND(OR(C6="M",C6="N",C6="Q"),D6&gt;=2450,D6&lt;=2600),"007E",
""))))))</f>
        <v/>
      </c>
      <c r="F6" s="10" t="str">
        <f t="shared" ref="F6:H37" si="2">$E6</f>
        <v/>
      </c>
      <c r="G6" s="10" t="str">
        <f t="shared" si="2"/>
        <v/>
      </c>
      <c r="H6" s="10" t="str">
        <f t="shared" si="2"/>
        <v/>
      </c>
      <c r="I6" s="10" t="str">
        <f t="shared" si="0"/>
        <v/>
      </c>
      <c r="J6" s="19" t="str" cm="1">
        <f t="array" ref="J6">IFERROR(_xlfn.IFS(
  AND(D6&gt;=2195, D6&lt;=2249), "①-1",
  AND(D6&gt;=2250, D6&lt;=2299), "①-2",
  AND(D6&gt;=2300, D6&lt;=2349), "①-3",
  AND(D6&gt;=2350, D6&lt;=2384), "①-4",
  AND(D6&gt;=2385, D6&lt;=2449), "①-5",
  AND(D6&gt;=2450, D6&lt;=2499), "①-6",
  AND(D6&gt;=2500, D6&lt;=2600), "①-7",
  AND(D6&gt;=2550, D6&lt;=2600), "①-8"
),"")</f>
        <v/>
      </c>
      <c r="K6" s="19" t="str">
        <f t="shared" ref="K6:K69" si="3">IFERROR(VLOOKUP(J6,$O$5:$Q$12,2,0),"")</f>
        <v/>
      </c>
      <c r="L6" s="19" t="str">
        <f t="shared" ref="L6:L69" si="4">IFERROR(VLOOKUP(J6,$O$5:$Q$12,3,0),"")</f>
        <v/>
      </c>
      <c r="N6" s="4" t="s">
        <v>11</v>
      </c>
      <c r="O6" s="11" t="s">
        <v>34</v>
      </c>
      <c r="P6" s="12" t="s">
        <v>35</v>
      </c>
      <c r="Q6" s="12" t="s">
        <v>36</v>
      </c>
      <c r="R6" s="2" t="s">
        <v>37</v>
      </c>
      <c r="S6" s="2" t="s">
        <v>38</v>
      </c>
      <c r="T6" s="11">
        <v>1</v>
      </c>
      <c r="U6" s="13" t="s">
        <v>33</v>
      </c>
    </row>
    <row r="7" spans="1:21" ht="15" x14ac:dyDescent="0.3">
      <c r="B7" s="9"/>
      <c r="C7" s="9"/>
      <c r="D7" s="9"/>
      <c r="E7" s="10" t="str">
        <f t="shared" si="1"/>
        <v/>
      </c>
      <c r="F7" s="10" t="str">
        <f t="shared" si="2"/>
        <v/>
      </c>
      <c r="G7" s="10" t="str">
        <f t="shared" si="2"/>
        <v/>
      </c>
      <c r="H7" s="10" t="str">
        <f t="shared" si="2"/>
        <v/>
      </c>
      <c r="I7" s="10" t="str">
        <f t="shared" si="0"/>
        <v/>
      </c>
      <c r="J7" s="19" t="str" cm="1">
        <f t="array" ref="J7">IFERROR(_xlfn.IFS(
  AND(D7&gt;=2195, D7&lt;=2249), "①-1",
  AND(D7&gt;=2250, D7&lt;=2299), "①-2",
  AND(D7&gt;=2300, D7&lt;=2349), "①-3",
  AND(D7&gt;=2350, D7&lt;=2384), "①-4",
  AND(D7&gt;=2385, D7&lt;=2449), "①-5",
  AND(D7&gt;=2450, D7&lt;=2499), "①-6",
  AND(D7&gt;=2500, D7&lt;=2600), "①-7",
  AND(D7&gt;=2550, D7&lt;=2600), "①-8"
),"")</f>
        <v/>
      </c>
      <c r="K7" s="19" t="str">
        <f t="shared" si="3"/>
        <v/>
      </c>
      <c r="L7" s="19" t="str">
        <f t="shared" si="4"/>
        <v/>
      </c>
      <c r="N7" s="4" t="s">
        <v>10</v>
      </c>
      <c r="O7" s="11" t="s">
        <v>39</v>
      </c>
      <c r="P7" s="12" t="s">
        <v>40</v>
      </c>
      <c r="Q7" s="12" t="s">
        <v>41</v>
      </c>
      <c r="R7" s="2" t="s">
        <v>42</v>
      </c>
      <c r="S7" s="2" t="s">
        <v>43</v>
      </c>
      <c r="T7" s="11">
        <v>1</v>
      </c>
      <c r="U7" s="13" t="s">
        <v>33</v>
      </c>
    </row>
    <row r="8" spans="1:21" ht="15" x14ac:dyDescent="0.3">
      <c r="B8" s="9"/>
      <c r="C8" s="9"/>
      <c r="D8" s="9"/>
      <c r="E8" s="10" t="str">
        <f t="shared" si="1"/>
        <v/>
      </c>
      <c r="F8" s="10" t="str">
        <f t="shared" si="2"/>
        <v/>
      </c>
      <c r="G8" s="10" t="str">
        <f t="shared" si="2"/>
        <v/>
      </c>
      <c r="H8" s="10" t="str">
        <f t="shared" si="2"/>
        <v/>
      </c>
      <c r="I8" s="10" t="str">
        <f t="shared" si="0"/>
        <v/>
      </c>
      <c r="J8" s="19" t="str" cm="1">
        <f t="array" ref="J8">IFERROR(_xlfn.IFS(
  AND(D8&gt;=2195, D8&lt;=2249), "①-1",
  AND(D8&gt;=2250, D8&lt;=2299), "①-2",
  AND(D8&gt;=2300, D8&lt;=2349), "①-3",
  AND(D8&gt;=2350, D8&lt;=2384), "①-4",
  AND(D8&gt;=2385, D8&lt;=2449), "①-5",
  AND(D8&gt;=2450, D8&lt;=2499), "①-6",
  AND(D8&gt;=2500, D8&lt;=2600), "①-7",
  AND(D8&gt;=2550, D8&lt;=2600), "①-8"
),"")</f>
        <v/>
      </c>
      <c r="K8" s="19" t="str">
        <f t="shared" si="3"/>
        <v/>
      </c>
      <c r="L8" s="19" t="str">
        <f t="shared" si="4"/>
        <v/>
      </c>
      <c r="N8" s="4" t="s">
        <v>12</v>
      </c>
      <c r="O8" s="11" t="s">
        <v>44</v>
      </c>
      <c r="P8" s="12" t="s">
        <v>45</v>
      </c>
      <c r="Q8" s="12" t="s">
        <v>46</v>
      </c>
      <c r="R8" s="2" t="s">
        <v>47</v>
      </c>
      <c r="S8" s="2" t="s">
        <v>48</v>
      </c>
      <c r="T8" s="11">
        <v>1</v>
      </c>
      <c r="U8" s="13" t="s">
        <v>33</v>
      </c>
    </row>
    <row r="9" spans="1:21" ht="15" x14ac:dyDescent="0.3">
      <c r="B9" s="9"/>
      <c r="C9" s="9"/>
      <c r="D9" s="9"/>
      <c r="E9" s="10" t="str">
        <f t="shared" si="1"/>
        <v/>
      </c>
      <c r="F9" s="10" t="str">
        <f t="shared" si="2"/>
        <v/>
      </c>
      <c r="G9" s="10" t="str">
        <f t="shared" si="2"/>
        <v/>
      </c>
      <c r="H9" s="10" t="str">
        <f t="shared" si="2"/>
        <v/>
      </c>
      <c r="I9" s="10" t="str">
        <f t="shared" si="0"/>
        <v/>
      </c>
      <c r="J9" s="19" t="str" cm="1">
        <f t="array" ref="J9">IFERROR(_xlfn.IFS(
  AND(D9&gt;=2195, D9&lt;=2249), "①-1",
  AND(D9&gt;=2250, D9&lt;=2299), "①-2",
  AND(D9&gt;=2300, D9&lt;=2349), "①-3",
  AND(D9&gt;=2350, D9&lt;=2384), "①-4",
  AND(D9&gt;=2385, D9&lt;=2449), "①-5",
  AND(D9&gt;=2450, D9&lt;=2499), "①-6",
  AND(D9&gt;=2500, D9&lt;=2600), "①-7",
  AND(D9&gt;=2550, D9&lt;=2600), "①-8"
),"")</f>
        <v/>
      </c>
      <c r="K9" s="19" t="str">
        <f t="shared" si="3"/>
        <v/>
      </c>
      <c r="L9" s="19" t="str">
        <f t="shared" si="4"/>
        <v/>
      </c>
      <c r="N9" s="4" t="s">
        <v>13</v>
      </c>
      <c r="O9" s="11" t="s">
        <v>49</v>
      </c>
      <c r="P9" s="12" t="s">
        <v>50</v>
      </c>
      <c r="Q9" s="12" t="s">
        <v>51</v>
      </c>
      <c r="R9" s="2" t="s">
        <v>52</v>
      </c>
      <c r="S9" s="2" t="s">
        <v>53</v>
      </c>
      <c r="T9" s="11">
        <v>1</v>
      </c>
      <c r="U9" s="13" t="s">
        <v>33</v>
      </c>
    </row>
    <row r="10" spans="1:21" ht="15" x14ac:dyDescent="0.3">
      <c r="B10" s="9"/>
      <c r="C10" s="9"/>
      <c r="D10" s="9"/>
      <c r="E10" s="10" t="str">
        <f t="shared" si="1"/>
        <v/>
      </c>
      <c r="F10" s="10" t="str">
        <f t="shared" si="2"/>
        <v/>
      </c>
      <c r="G10" s="10" t="str">
        <f t="shared" si="2"/>
        <v/>
      </c>
      <c r="H10" s="10" t="str">
        <f t="shared" si="2"/>
        <v/>
      </c>
      <c r="I10" s="10" t="str">
        <f t="shared" si="0"/>
        <v/>
      </c>
      <c r="J10" s="19" t="str" cm="1">
        <f t="array" ref="J10">IFERROR(_xlfn.IFS(
  AND(D10&gt;=2195, D10&lt;=2249), "①-1",
  AND(D10&gt;=2250, D10&lt;=2299), "①-2",
  AND(D10&gt;=2300, D10&lt;=2349), "①-3",
  AND(D10&gt;=2350, D10&lt;=2384), "①-4",
  AND(D10&gt;=2385, D10&lt;=2449), "①-5",
  AND(D10&gt;=2450, D10&lt;=2499), "①-6",
  AND(D10&gt;=2500, D10&lt;=2600), "①-7",
  AND(D10&gt;=2550, D10&lt;=2600), "①-8"
),"")</f>
        <v/>
      </c>
      <c r="K10" s="19" t="str">
        <f t="shared" si="3"/>
        <v/>
      </c>
      <c r="L10" s="19" t="str">
        <f t="shared" si="4"/>
        <v/>
      </c>
      <c r="N10" s="4" t="s">
        <v>14</v>
      </c>
      <c r="O10" s="11" t="s">
        <v>54</v>
      </c>
      <c r="P10" s="12" t="s">
        <v>55</v>
      </c>
      <c r="Q10" s="12" t="s">
        <v>56</v>
      </c>
      <c r="R10" s="2" t="s">
        <v>57</v>
      </c>
      <c r="S10" s="2" t="s">
        <v>58</v>
      </c>
      <c r="T10" s="11">
        <v>1</v>
      </c>
      <c r="U10" s="13" t="s">
        <v>33</v>
      </c>
    </row>
    <row r="11" spans="1:21" ht="15" x14ac:dyDescent="0.3">
      <c r="B11" s="9"/>
      <c r="C11" s="9"/>
      <c r="D11" s="9"/>
      <c r="E11" s="10" t="str">
        <f t="shared" si="1"/>
        <v/>
      </c>
      <c r="F11" s="10" t="str">
        <f t="shared" si="2"/>
        <v/>
      </c>
      <c r="G11" s="10" t="str">
        <f t="shared" si="2"/>
        <v/>
      </c>
      <c r="H11" s="10" t="str">
        <f t="shared" si="2"/>
        <v/>
      </c>
      <c r="I11" s="10" t="str">
        <f t="shared" si="0"/>
        <v/>
      </c>
      <c r="J11" s="19" t="str" cm="1">
        <f t="array" ref="J11">IFERROR(_xlfn.IFS(
  AND(D11&gt;=2195, D11&lt;=2249), "①-1",
  AND(D11&gt;=2250, D11&lt;=2299), "①-2",
  AND(D11&gt;=2300, D11&lt;=2349), "①-3",
  AND(D11&gt;=2350, D11&lt;=2384), "①-4",
  AND(D11&gt;=2385, D11&lt;=2449), "①-5",
  AND(D11&gt;=2450, D11&lt;=2499), "①-6",
  AND(D11&gt;=2500, D11&lt;=2600), "①-7",
  AND(D11&gt;=2550, D11&lt;=2600), "①-8"
),"")</f>
        <v/>
      </c>
      <c r="K11" s="19" t="str">
        <f t="shared" si="3"/>
        <v/>
      </c>
      <c r="L11" s="19" t="str">
        <f t="shared" si="4"/>
        <v/>
      </c>
      <c r="N11" s="4" t="s">
        <v>15</v>
      </c>
      <c r="O11" s="14" t="s">
        <v>59</v>
      </c>
      <c r="P11" s="15" t="s">
        <v>60</v>
      </c>
      <c r="Q11" s="15" t="s">
        <v>61</v>
      </c>
      <c r="R11" s="16" t="s">
        <v>62</v>
      </c>
      <c r="S11" s="16" t="s">
        <v>63</v>
      </c>
      <c r="T11" s="14">
        <v>1</v>
      </c>
      <c r="U11" s="17" t="s">
        <v>64</v>
      </c>
    </row>
    <row r="12" spans="1:21" ht="15" x14ac:dyDescent="0.3">
      <c r="B12" s="9"/>
      <c r="C12" s="9"/>
      <c r="D12" s="9"/>
      <c r="E12" s="10" t="str">
        <f t="shared" si="1"/>
        <v/>
      </c>
      <c r="F12" s="10" t="str">
        <f t="shared" si="2"/>
        <v/>
      </c>
      <c r="G12" s="10" t="str">
        <f t="shared" si="2"/>
        <v/>
      </c>
      <c r="H12" s="10" t="str">
        <f t="shared" si="2"/>
        <v/>
      </c>
      <c r="I12" s="10" t="str">
        <f t="shared" si="0"/>
        <v/>
      </c>
      <c r="J12" s="19" t="str" cm="1">
        <f t="array" ref="J12">IFERROR(_xlfn.IFS(
  AND(D12&gt;=2195, D12&lt;=2249), "①-1",
  AND(D12&gt;=2250, D12&lt;=2299), "①-2",
  AND(D12&gt;=2300, D12&lt;=2349), "①-3",
  AND(D12&gt;=2350, D12&lt;=2384), "①-4",
  AND(D12&gt;=2385, D12&lt;=2449), "①-5",
  AND(D12&gt;=2450, D12&lt;=2499), "①-6",
  AND(D12&gt;=2500, D12&lt;=2600), "①-7",
  AND(D12&gt;=2550, D12&lt;=2600), "①-8"
),"")</f>
        <v/>
      </c>
      <c r="K12" s="19" t="str">
        <f t="shared" si="3"/>
        <v/>
      </c>
      <c r="L12" s="19" t="str">
        <f t="shared" si="4"/>
        <v/>
      </c>
      <c r="O12" s="11" t="s">
        <v>65</v>
      </c>
      <c r="P12" s="12" t="s">
        <v>66</v>
      </c>
      <c r="Q12" s="12" t="s">
        <v>67</v>
      </c>
      <c r="R12" s="2" t="s">
        <v>68</v>
      </c>
      <c r="S12" s="2" t="s">
        <v>69</v>
      </c>
      <c r="T12" s="11">
        <v>1</v>
      </c>
      <c r="U12" s="13" t="s">
        <v>33</v>
      </c>
    </row>
    <row r="13" spans="1:21" x14ac:dyDescent="0.3">
      <c r="B13" s="9"/>
      <c r="C13" s="9"/>
      <c r="D13" s="9"/>
      <c r="E13" s="10" t="str">
        <f t="shared" si="1"/>
        <v/>
      </c>
      <c r="F13" s="10" t="str">
        <f t="shared" si="2"/>
        <v/>
      </c>
      <c r="G13" s="10" t="str">
        <f t="shared" si="2"/>
        <v/>
      </c>
      <c r="H13" s="10" t="str">
        <f t="shared" si="2"/>
        <v/>
      </c>
      <c r="I13" s="10" t="str">
        <f t="shared" si="0"/>
        <v/>
      </c>
      <c r="J13" s="19" t="str" cm="1">
        <f t="array" ref="J13">IFERROR(_xlfn.IFS(
  AND(D13&gt;=2195, D13&lt;=2249), "①-1",
  AND(D13&gt;=2250, D13&lt;=2299), "①-2",
  AND(D13&gt;=2300, D13&lt;=2349), "①-3",
  AND(D13&gt;=2350, D13&lt;=2384), "①-4",
  AND(D13&gt;=2385, D13&lt;=2449), "①-5",
  AND(D13&gt;=2450, D13&lt;=2499), "①-6",
  AND(D13&gt;=2500, D13&lt;=2600), "①-7",
  AND(D13&gt;=2550, D13&lt;=2600), "①-8"
),"")</f>
        <v/>
      </c>
      <c r="K13" s="19" t="str">
        <f t="shared" si="3"/>
        <v/>
      </c>
      <c r="L13" s="19" t="str">
        <f t="shared" si="4"/>
        <v/>
      </c>
    </row>
    <row r="14" spans="1:21" x14ac:dyDescent="0.3">
      <c r="B14" s="9"/>
      <c r="C14" s="9"/>
      <c r="D14" s="9"/>
      <c r="E14" s="10" t="str">
        <f t="shared" si="1"/>
        <v/>
      </c>
      <c r="F14" s="10" t="str">
        <f t="shared" si="2"/>
        <v/>
      </c>
      <c r="G14" s="10" t="str">
        <f t="shared" si="2"/>
        <v/>
      </c>
      <c r="H14" s="10" t="str">
        <f t="shared" si="2"/>
        <v/>
      </c>
      <c r="I14" s="10" t="str">
        <f t="shared" si="0"/>
        <v/>
      </c>
      <c r="J14" s="19" t="str" cm="1">
        <f t="array" ref="J14">IFERROR(_xlfn.IFS(
  AND(D14&gt;=2195, D14&lt;=2249), "①-1",
  AND(D14&gt;=2250, D14&lt;=2299), "①-2",
  AND(D14&gt;=2300, D14&lt;=2349), "①-3",
  AND(D14&gt;=2350, D14&lt;=2384), "①-4",
  AND(D14&gt;=2385, D14&lt;=2449), "①-5",
  AND(D14&gt;=2450, D14&lt;=2499), "①-6",
  AND(D14&gt;=2500, D14&lt;=2600), "①-7",
  AND(D14&gt;=2550, D14&lt;=2600), "①-8"
),"")</f>
        <v/>
      </c>
      <c r="K14" s="19" t="str">
        <f t="shared" si="3"/>
        <v/>
      </c>
      <c r="L14" s="19" t="str">
        <f t="shared" si="4"/>
        <v/>
      </c>
    </row>
    <row r="15" spans="1:21" x14ac:dyDescent="0.3">
      <c r="B15" s="9"/>
      <c r="C15" s="9"/>
      <c r="D15" s="9"/>
      <c r="E15" s="10" t="str">
        <f t="shared" si="1"/>
        <v/>
      </c>
      <c r="F15" s="10" t="str">
        <f t="shared" si="2"/>
        <v/>
      </c>
      <c r="G15" s="10" t="str">
        <f t="shared" si="2"/>
        <v/>
      </c>
      <c r="H15" s="10" t="str">
        <f t="shared" si="2"/>
        <v/>
      </c>
      <c r="I15" s="10" t="str">
        <f t="shared" si="0"/>
        <v/>
      </c>
      <c r="J15" s="19" t="str" cm="1">
        <f t="array" ref="J15">IFERROR(_xlfn.IFS(
  AND(D15&gt;=2195, D15&lt;=2249), "①-1",
  AND(D15&gt;=2250, D15&lt;=2299), "①-2",
  AND(D15&gt;=2300, D15&lt;=2349), "①-3",
  AND(D15&gt;=2350, D15&lt;=2384), "①-4",
  AND(D15&gt;=2385, D15&lt;=2449), "①-5",
  AND(D15&gt;=2450, D15&lt;=2499), "①-6",
  AND(D15&gt;=2500, D15&lt;=2600), "①-7",
  AND(D15&gt;=2550, D15&lt;=2600), "①-8"
),"")</f>
        <v/>
      </c>
      <c r="K15" s="19" t="str">
        <f t="shared" si="3"/>
        <v/>
      </c>
      <c r="L15" s="19" t="str">
        <f t="shared" si="4"/>
        <v/>
      </c>
    </row>
    <row r="16" spans="1:21" x14ac:dyDescent="0.3">
      <c r="B16" s="9"/>
      <c r="C16" s="9"/>
      <c r="D16" s="9"/>
      <c r="E16" s="10" t="str">
        <f t="shared" si="1"/>
        <v/>
      </c>
      <c r="F16" s="10" t="str">
        <f t="shared" si="2"/>
        <v/>
      </c>
      <c r="G16" s="10" t="str">
        <f t="shared" si="2"/>
        <v/>
      </c>
      <c r="H16" s="10" t="str">
        <f t="shared" si="2"/>
        <v/>
      </c>
      <c r="I16" s="10" t="str">
        <f t="shared" si="0"/>
        <v/>
      </c>
      <c r="J16" s="19" t="str" cm="1">
        <f t="array" ref="J16">IFERROR(_xlfn.IFS(
  AND(D16&gt;=2195, D16&lt;=2249), "①-1",
  AND(D16&gt;=2250, D16&lt;=2299), "①-2",
  AND(D16&gt;=2300, D16&lt;=2349), "①-3",
  AND(D16&gt;=2350, D16&lt;=2384), "①-4",
  AND(D16&gt;=2385, D16&lt;=2449), "①-5",
  AND(D16&gt;=2450, D16&lt;=2499), "①-6",
  AND(D16&gt;=2500, D16&lt;=2600), "①-7",
  AND(D16&gt;=2550, D16&lt;=2600), "①-8"
),"")</f>
        <v/>
      </c>
      <c r="K16" s="19" t="str">
        <f t="shared" si="3"/>
        <v/>
      </c>
      <c r="L16" s="19" t="str">
        <f t="shared" si="4"/>
        <v/>
      </c>
    </row>
    <row r="17" spans="2:12" x14ac:dyDescent="0.3">
      <c r="B17" s="9"/>
      <c r="C17" s="9"/>
      <c r="D17" s="9"/>
      <c r="E17" s="10" t="str">
        <f t="shared" si="1"/>
        <v/>
      </c>
      <c r="F17" s="10" t="str">
        <f t="shared" si="2"/>
        <v/>
      </c>
      <c r="G17" s="10" t="str">
        <f t="shared" si="2"/>
        <v/>
      </c>
      <c r="H17" s="10" t="str">
        <f t="shared" si="2"/>
        <v/>
      </c>
      <c r="I17" s="10" t="str">
        <f t="shared" si="0"/>
        <v/>
      </c>
      <c r="J17" s="19" t="str" cm="1">
        <f t="array" ref="J17">IFERROR(_xlfn.IFS(
  AND(D17&gt;=2195, D17&lt;=2249), "①-1",
  AND(D17&gt;=2250, D17&lt;=2299), "①-2",
  AND(D17&gt;=2300, D17&lt;=2349), "①-3",
  AND(D17&gt;=2350, D17&lt;=2384), "①-4",
  AND(D17&gt;=2385, D17&lt;=2449), "①-5",
  AND(D17&gt;=2450, D17&lt;=2499), "①-6",
  AND(D17&gt;=2500, D17&lt;=2600), "①-7",
  AND(D17&gt;=2550, D17&lt;=2600), "①-8"
),"")</f>
        <v/>
      </c>
      <c r="K17" s="19" t="str">
        <f t="shared" si="3"/>
        <v/>
      </c>
      <c r="L17" s="19" t="str">
        <f t="shared" si="4"/>
        <v/>
      </c>
    </row>
    <row r="18" spans="2:12" x14ac:dyDescent="0.3">
      <c r="B18" s="9"/>
      <c r="C18" s="9"/>
      <c r="D18" s="9"/>
      <c r="E18" s="10" t="str">
        <f t="shared" si="1"/>
        <v/>
      </c>
      <c r="F18" s="10" t="str">
        <f t="shared" si="2"/>
        <v/>
      </c>
      <c r="G18" s="10" t="str">
        <f t="shared" si="2"/>
        <v/>
      </c>
      <c r="H18" s="10" t="str">
        <f t="shared" si="2"/>
        <v/>
      </c>
      <c r="I18" s="10" t="str">
        <f t="shared" si="0"/>
        <v/>
      </c>
      <c r="J18" s="19" t="str" cm="1">
        <f t="array" ref="J18">IFERROR(_xlfn.IFS(
  AND(D18&gt;=2195, D18&lt;=2249), "①-1",
  AND(D18&gt;=2250, D18&lt;=2299), "①-2",
  AND(D18&gt;=2300, D18&lt;=2349), "①-3",
  AND(D18&gt;=2350, D18&lt;=2384), "①-4",
  AND(D18&gt;=2385, D18&lt;=2449), "①-5",
  AND(D18&gt;=2450, D18&lt;=2499), "①-6",
  AND(D18&gt;=2500, D18&lt;=2600), "①-7",
  AND(D18&gt;=2550, D18&lt;=2600), "①-8"
),"")</f>
        <v/>
      </c>
      <c r="K18" s="19" t="str">
        <f t="shared" si="3"/>
        <v/>
      </c>
      <c r="L18" s="19" t="str">
        <f t="shared" si="4"/>
        <v/>
      </c>
    </row>
    <row r="19" spans="2:12" x14ac:dyDescent="0.3">
      <c r="B19" s="9"/>
      <c r="C19" s="9"/>
      <c r="D19" s="9"/>
      <c r="E19" s="10" t="str">
        <f t="shared" si="1"/>
        <v/>
      </c>
      <c r="F19" s="10" t="str">
        <f t="shared" si="2"/>
        <v/>
      </c>
      <c r="G19" s="10" t="str">
        <f t="shared" si="2"/>
        <v/>
      </c>
      <c r="H19" s="10" t="str">
        <f t="shared" si="2"/>
        <v/>
      </c>
      <c r="I19" s="10" t="str">
        <f t="shared" si="0"/>
        <v/>
      </c>
      <c r="J19" s="19" t="str" cm="1">
        <f t="array" ref="J19">IFERROR(_xlfn.IFS(
  AND(D19&gt;=2195, D19&lt;=2249), "①-1",
  AND(D19&gt;=2250, D19&lt;=2299), "①-2",
  AND(D19&gt;=2300, D19&lt;=2349), "①-3",
  AND(D19&gt;=2350, D19&lt;=2384), "①-4",
  AND(D19&gt;=2385, D19&lt;=2449), "①-5",
  AND(D19&gt;=2450, D19&lt;=2499), "①-6",
  AND(D19&gt;=2500, D19&lt;=2600), "①-7",
  AND(D19&gt;=2550, D19&lt;=2600), "①-8"
),"")</f>
        <v/>
      </c>
      <c r="K19" s="19" t="str">
        <f t="shared" si="3"/>
        <v/>
      </c>
      <c r="L19" s="19" t="str">
        <f t="shared" si="4"/>
        <v/>
      </c>
    </row>
    <row r="20" spans="2:12" x14ac:dyDescent="0.3">
      <c r="B20" s="9"/>
      <c r="C20" s="9"/>
      <c r="D20" s="9"/>
      <c r="E20" s="10" t="str">
        <f t="shared" si="1"/>
        <v/>
      </c>
      <c r="F20" s="10" t="str">
        <f t="shared" si="2"/>
        <v/>
      </c>
      <c r="G20" s="10" t="str">
        <f t="shared" si="2"/>
        <v/>
      </c>
      <c r="H20" s="10" t="str">
        <f t="shared" si="2"/>
        <v/>
      </c>
      <c r="I20" s="10" t="str">
        <f t="shared" si="0"/>
        <v/>
      </c>
      <c r="J20" s="19" t="str" cm="1">
        <f t="array" ref="J20">IFERROR(_xlfn.IFS(
  AND(D20&gt;=2195, D20&lt;=2249), "①-1",
  AND(D20&gt;=2250, D20&lt;=2299), "①-2",
  AND(D20&gt;=2300, D20&lt;=2349), "①-3",
  AND(D20&gt;=2350, D20&lt;=2384), "①-4",
  AND(D20&gt;=2385, D20&lt;=2449), "①-5",
  AND(D20&gt;=2450, D20&lt;=2499), "①-6",
  AND(D20&gt;=2500, D20&lt;=2600), "①-7",
  AND(D20&gt;=2550, D20&lt;=2600), "①-8"
),"")</f>
        <v/>
      </c>
      <c r="K20" s="19" t="str">
        <f t="shared" si="3"/>
        <v/>
      </c>
      <c r="L20" s="19" t="str">
        <f t="shared" si="4"/>
        <v/>
      </c>
    </row>
    <row r="21" spans="2:12" x14ac:dyDescent="0.3">
      <c r="B21" s="9"/>
      <c r="C21" s="9"/>
      <c r="D21" s="9"/>
      <c r="E21" s="10" t="str">
        <f t="shared" si="1"/>
        <v/>
      </c>
      <c r="F21" s="10" t="str">
        <f t="shared" si="2"/>
        <v/>
      </c>
      <c r="G21" s="10" t="str">
        <f t="shared" si="2"/>
        <v/>
      </c>
      <c r="H21" s="10" t="str">
        <f t="shared" si="2"/>
        <v/>
      </c>
      <c r="I21" s="10" t="str">
        <f t="shared" si="0"/>
        <v/>
      </c>
      <c r="J21" s="19" t="str" cm="1">
        <f t="array" ref="J21">IFERROR(_xlfn.IFS(
  AND(D21&gt;=2195, D21&lt;=2249), "①-1",
  AND(D21&gt;=2250, D21&lt;=2299), "①-2",
  AND(D21&gt;=2300, D21&lt;=2349), "①-3",
  AND(D21&gt;=2350, D21&lt;=2384), "①-4",
  AND(D21&gt;=2385, D21&lt;=2449), "①-5",
  AND(D21&gt;=2450, D21&lt;=2499), "①-6",
  AND(D21&gt;=2500, D21&lt;=2600), "①-7",
  AND(D21&gt;=2550, D21&lt;=2600), "①-8"
),"")</f>
        <v/>
      </c>
      <c r="K21" s="19" t="str">
        <f t="shared" si="3"/>
        <v/>
      </c>
      <c r="L21" s="19" t="str">
        <f t="shared" si="4"/>
        <v/>
      </c>
    </row>
    <row r="22" spans="2:12" x14ac:dyDescent="0.3">
      <c r="B22" s="9"/>
      <c r="C22" s="9"/>
      <c r="D22" s="9"/>
      <c r="E22" s="10" t="str">
        <f t="shared" si="1"/>
        <v/>
      </c>
      <c r="F22" s="10" t="str">
        <f t="shared" si="2"/>
        <v/>
      </c>
      <c r="G22" s="10" t="str">
        <f t="shared" si="2"/>
        <v/>
      </c>
      <c r="H22" s="10" t="str">
        <f t="shared" si="2"/>
        <v/>
      </c>
      <c r="I22" s="10" t="str">
        <f t="shared" si="0"/>
        <v/>
      </c>
      <c r="J22" s="19" t="str" cm="1">
        <f t="array" ref="J22">IFERROR(_xlfn.IFS(
  AND(D22&gt;=2195, D22&lt;=2249), "①-1",
  AND(D22&gt;=2250, D22&lt;=2299), "①-2",
  AND(D22&gt;=2300, D22&lt;=2349), "①-3",
  AND(D22&gt;=2350, D22&lt;=2384), "①-4",
  AND(D22&gt;=2385, D22&lt;=2449), "①-5",
  AND(D22&gt;=2450, D22&lt;=2499), "①-6",
  AND(D22&gt;=2500, D22&lt;=2600), "①-7",
  AND(D22&gt;=2550, D22&lt;=2600), "①-8"
),"")</f>
        <v/>
      </c>
      <c r="K22" s="19" t="str">
        <f t="shared" si="3"/>
        <v/>
      </c>
      <c r="L22" s="19" t="str">
        <f t="shared" si="4"/>
        <v/>
      </c>
    </row>
    <row r="23" spans="2:12" x14ac:dyDescent="0.3">
      <c r="B23" s="9"/>
      <c r="C23" s="9"/>
      <c r="D23" s="9"/>
      <c r="E23" s="10" t="str">
        <f t="shared" si="1"/>
        <v/>
      </c>
      <c r="F23" s="10" t="str">
        <f t="shared" si="2"/>
        <v/>
      </c>
      <c r="G23" s="10" t="str">
        <f t="shared" si="2"/>
        <v/>
      </c>
      <c r="H23" s="10" t="str">
        <f t="shared" si="2"/>
        <v/>
      </c>
      <c r="I23" s="10" t="str">
        <f t="shared" si="0"/>
        <v/>
      </c>
      <c r="J23" s="19" t="str" cm="1">
        <f t="array" ref="J23">IFERROR(_xlfn.IFS(
  AND(D23&gt;=2195, D23&lt;=2249), "①-1",
  AND(D23&gt;=2250, D23&lt;=2299), "①-2",
  AND(D23&gt;=2300, D23&lt;=2349), "①-3",
  AND(D23&gt;=2350, D23&lt;=2384), "①-4",
  AND(D23&gt;=2385, D23&lt;=2449), "①-5",
  AND(D23&gt;=2450, D23&lt;=2499), "①-6",
  AND(D23&gt;=2500, D23&lt;=2600), "①-7",
  AND(D23&gt;=2550, D23&lt;=2600), "①-8"
),"")</f>
        <v/>
      </c>
      <c r="K23" s="19" t="str">
        <f t="shared" si="3"/>
        <v/>
      </c>
      <c r="L23" s="19" t="str">
        <f t="shared" si="4"/>
        <v/>
      </c>
    </row>
    <row r="24" spans="2:12" x14ac:dyDescent="0.3">
      <c r="B24" s="9"/>
      <c r="C24" s="9"/>
      <c r="D24" s="9"/>
      <c r="E24" s="10" t="str">
        <f t="shared" si="1"/>
        <v/>
      </c>
      <c r="F24" s="10" t="str">
        <f t="shared" si="2"/>
        <v/>
      </c>
      <c r="G24" s="10" t="str">
        <f t="shared" si="2"/>
        <v/>
      </c>
      <c r="H24" s="10" t="str">
        <f t="shared" si="2"/>
        <v/>
      </c>
      <c r="I24" s="10" t="str">
        <f t="shared" si="0"/>
        <v/>
      </c>
      <c r="J24" s="19" t="str" cm="1">
        <f t="array" ref="J24">IFERROR(_xlfn.IFS(
  AND(D24&gt;=2195, D24&lt;=2249), "①-1",
  AND(D24&gt;=2250, D24&lt;=2299), "①-2",
  AND(D24&gt;=2300, D24&lt;=2349), "①-3",
  AND(D24&gt;=2350, D24&lt;=2384), "①-4",
  AND(D24&gt;=2385, D24&lt;=2449), "①-5",
  AND(D24&gt;=2450, D24&lt;=2499), "①-6",
  AND(D24&gt;=2500, D24&lt;=2600), "①-7",
  AND(D24&gt;=2550, D24&lt;=2600), "①-8"
),"")</f>
        <v/>
      </c>
      <c r="K24" s="19" t="str">
        <f t="shared" si="3"/>
        <v/>
      </c>
      <c r="L24" s="19" t="str">
        <f t="shared" si="4"/>
        <v/>
      </c>
    </row>
    <row r="25" spans="2:12" x14ac:dyDescent="0.3">
      <c r="B25" s="9"/>
      <c r="C25" s="9"/>
      <c r="D25" s="9"/>
      <c r="E25" s="10" t="str">
        <f t="shared" si="1"/>
        <v/>
      </c>
      <c r="F25" s="10" t="str">
        <f t="shared" si="2"/>
        <v/>
      </c>
      <c r="G25" s="10" t="str">
        <f t="shared" si="2"/>
        <v/>
      </c>
      <c r="H25" s="10" t="str">
        <f t="shared" si="2"/>
        <v/>
      </c>
      <c r="I25" s="10" t="str">
        <f t="shared" si="0"/>
        <v/>
      </c>
      <c r="J25" s="19" t="str" cm="1">
        <f t="array" ref="J25">IFERROR(_xlfn.IFS(
  AND(D25&gt;=2195, D25&lt;=2249), "①-1",
  AND(D25&gt;=2250, D25&lt;=2299), "①-2",
  AND(D25&gt;=2300, D25&lt;=2349), "①-3",
  AND(D25&gt;=2350, D25&lt;=2384), "①-4",
  AND(D25&gt;=2385, D25&lt;=2449), "①-5",
  AND(D25&gt;=2450, D25&lt;=2499), "①-6",
  AND(D25&gt;=2500, D25&lt;=2600), "①-7",
  AND(D25&gt;=2550, D25&lt;=2600), "①-8"
),"")</f>
        <v/>
      </c>
      <c r="K25" s="19" t="str">
        <f t="shared" si="3"/>
        <v/>
      </c>
      <c r="L25" s="19" t="str">
        <f t="shared" si="4"/>
        <v/>
      </c>
    </row>
    <row r="26" spans="2:12" x14ac:dyDescent="0.3">
      <c r="B26" s="9"/>
      <c r="C26" s="9"/>
      <c r="D26" s="9"/>
      <c r="E26" s="10" t="str">
        <f t="shared" si="1"/>
        <v/>
      </c>
      <c r="F26" s="10" t="str">
        <f t="shared" si="2"/>
        <v/>
      </c>
      <c r="G26" s="10" t="str">
        <f t="shared" si="2"/>
        <v/>
      </c>
      <c r="H26" s="10" t="str">
        <f t="shared" si="2"/>
        <v/>
      </c>
      <c r="I26" s="10" t="str">
        <f t="shared" si="0"/>
        <v/>
      </c>
      <c r="J26" s="19" t="str" cm="1">
        <f t="array" ref="J26">IFERROR(_xlfn.IFS(
  AND(D26&gt;=2195, D26&lt;=2249), "①-1",
  AND(D26&gt;=2250, D26&lt;=2299), "①-2",
  AND(D26&gt;=2300, D26&lt;=2349), "①-3",
  AND(D26&gt;=2350, D26&lt;=2384), "①-4",
  AND(D26&gt;=2385, D26&lt;=2449), "①-5",
  AND(D26&gt;=2450, D26&lt;=2499), "①-6",
  AND(D26&gt;=2500, D26&lt;=2600), "①-7",
  AND(D26&gt;=2550, D26&lt;=2600), "①-8"
),"")</f>
        <v/>
      </c>
      <c r="K26" s="19" t="str">
        <f t="shared" si="3"/>
        <v/>
      </c>
      <c r="L26" s="19" t="str">
        <f t="shared" si="4"/>
        <v/>
      </c>
    </row>
    <row r="27" spans="2:12" x14ac:dyDescent="0.3">
      <c r="B27" s="9"/>
      <c r="C27" s="9"/>
      <c r="D27" s="9"/>
      <c r="E27" s="10" t="str">
        <f t="shared" si="1"/>
        <v/>
      </c>
      <c r="F27" s="10" t="str">
        <f t="shared" si="2"/>
        <v/>
      </c>
      <c r="G27" s="10" t="str">
        <f t="shared" si="2"/>
        <v/>
      </c>
      <c r="H27" s="10" t="str">
        <f t="shared" si="2"/>
        <v/>
      </c>
      <c r="I27" s="10" t="str">
        <f t="shared" si="0"/>
        <v/>
      </c>
      <c r="J27" s="19" t="str" cm="1">
        <f t="array" ref="J27">IFERROR(_xlfn.IFS(
  AND(D27&gt;=2195, D27&lt;=2249), "①-1",
  AND(D27&gt;=2250, D27&lt;=2299), "①-2",
  AND(D27&gt;=2300, D27&lt;=2349), "①-3",
  AND(D27&gt;=2350, D27&lt;=2384), "①-4",
  AND(D27&gt;=2385, D27&lt;=2449), "①-5",
  AND(D27&gt;=2450, D27&lt;=2499), "①-6",
  AND(D27&gt;=2500, D27&lt;=2600), "①-7",
  AND(D27&gt;=2550, D27&lt;=2600), "①-8"
),"")</f>
        <v/>
      </c>
      <c r="K27" s="19" t="str">
        <f t="shared" si="3"/>
        <v/>
      </c>
      <c r="L27" s="19" t="str">
        <f t="shared" si="4"/>
        <v/>
      </c>
    </row>
    <row r="28" spans="2:12" x14ac:dyDescent="0.3">
      <c r="B28" s="9"/>
      <c r="C28" s="9"/>
      <c r="D28" s="9"/>
      <c r="E28" s="10" t="str">
        <f t="shared" si="1"/>
        <v/>
      </c>
      <c r="F28" s="10" t="str">
        <f t="shared" si="2"/>
        <v/>
      </c>
      <c r="G28" s="10" t="str">
        <f t="shared" si="2"/>
        <v/>
      </c>
      <c r="H28" s="10" t="str">
        <f t="shared" si="2"/>
        <v/>
      </c>
      <c r="I28" s="10" t="str">
        <f t="shared" si="0"/>
        <v/>
      </c>
      <c r="J28" s="19" t="str" cm="1">
        <f t="array" ref="J28">IFERROR(_xlfn.IFS(
  AND(D28&gt;=2195, D28&lt;=2249), "①-1",
  AND(D28&gt;=2250, D28&lt;=2299), "①-2",
  AND(D28&gt;=2300, D28&lt;=2349), "①-3",
  AND(D28&gt;=2350, D28&lt;=2384), "①-4",
  AND(D28&gt;=2385, D28&lt;=2449), "①-5",
  AND(D28&gt;=2450, D28&lt;=2499), "①-6",
  AND(D28&gt;=2500, D28&lt;=2600), "①-7",
  AND(D28&gt;=2550, D28&lt;=2600), "①-8"
),"")</f>
        <v/>
      </c>
      <c r="K28" s="19" t="str">
        <f t="shared" si="3"/>
        <v/>
      </c>
      <c r="L28" s="19" t="str">
        <f t="shared" si="4"/>
        <v/>
      </c>
    </row>
    <row r="29" spans="2:12" x14ac:dyDescent="0.3">
      <c r="B29" s="9"/>
      <c r="C29" s="9"/>
      <c r="D29" s="9"/>
      <c r="E29" s="10" t="str">
        <f t="shared" si="1"/>
        <v/>
      </c>
      <c r="F29" s="10" t="str">
        <f t="shared" si="2"/>
        <v/>
      </c>
      <c r="G29" s="10" t="str">
        <f t="shared" si="2"/>
        <v/>
      </c>
      <c r="H29" s="10" t="str">
        <f t="shared" si="2"/>
        <v/>
      </c>
      <c r="I29" s="10" t="str">
        <f t="shared" si="0"/>
        <v/>
      </c>
      <c r="J29" s="19" t="str" cm="1">
        <f t="array" ref="J29">IFERROR(_xlfn.IFS(
  AND(D29&gt;=2195, D29&lt;=2249), "①-1",
  AND(D29&gt;=2250, D29&lt;=2299), "①-2",
  AND(D29&gt;=2300, D29&lt;=2349), "①-3",
  AND(D29&gt;=2350, D29&lt;=2384), "①-4",
  AND(D29&gt;=2385, D29&lt;=2449), "①-5",
  AND(D29&gt;=2450, D29&lt;=2499), "①-6",
  AND(D29&gt;=2500, D29&lt;=2600), "①-7",
  AND(D29&gt;=2550, D29&lt;=2600), "①-8"
),"")</f>
        <v/>
      </c>
      <c r="K29" s="19" t="str">
        <f t="shared" si="3"/>
        <v/>
      </c>
      <c r="L29" s="19" t="str">
        <f t="shared" si="4"/>
        <v/>
      </c>
    </row>
    <row r="30" spans="2:12" x14ac:dyDescent="0.3">
      <c r="B30" s="9"/>
      <c r="C30" s="9"/>
      <c r="D30" s="9"/>
      <c r="E30" s="10" t="str">
        <f t="shared" si="1"/>
        <v/>
      </c>
      <c r="F30" s="10" t="str">
        <f t="shared" si="2"/>
        <v/>
      </c>
      <c r="G30" s="10" t="str">
        <f t="shared" si="2"/>
        <v/>
      </c>
      <c r="H30" s="10" t="str">
        <f t="shared" si="2"/>
        <v/>
      </c>
      <c r="I30" s="10" t="str">
        <f t="shared" si="0"/>
        <v/>
      </c>
      <c r="J30" s="19" t="str" cm="1">
        <f t="array" ref="J30">IFERROR(_xlfn.IFS(
  AND(D30&gt;=2195, D30&lt;=2249), "①-1",
  AND(D30&gt;=2250, D30&lt;=2299), "①-2",
  AND(D30&gt;=2300, D30&lt;=2349), "①-3",
  AND(D30&gt;=2350, D30&lt;=2384), "①-4",
  AND(D30&gt;=2385, D30&lt;=2449), "①-5",
  AND(D30&gt;=2450, D30&lt;=2499), "①-6",
  AND(D30&gt;=2500, D30&lt;=2600), "①-7",
  AND(D30&gt;=2550, D30&lt;=2600), "①-8"
),"")</f>
        <v/>
      </c>
      <c r="K30" s="19" t="str">
        <f t="shared" si="3"/>
        <v/>
      </c>
      <c r="L30" s="19" t="str">
        <f t="shared" si="4"/>
        <v/>
      </c>
    </row>
    <row r="31" spans="2:12" x14ac:dyDescent="0.3">
      <c r="B31" s="9"/>
      <c r="C31" s="9"/>
      <c r="D31" s="9"/>
      <c r="E31" s="10" t="str">
        <f t="shared" si="1"/>
        <v/>
      </c>
      <c r="F31" s="10" t="str">
        <f t="shared" si="2"/>
        <v/>
      </c>
      <c r="G31" s="10" t="str">
        <f t="shared" si="2"/>
        <v/>
      </c>
      <c r="H31" s="10" t="str">
        <f t="shared" si="2"/>
        <v/>
      </c>
      <c r="I31" s="10" t="str">
        <f t="shared" si="0"/>
        <v/>
      </c>
      <c r="J31" s="19" t="str" cm="1">
        <f t="array" ref="J31">IFERROR(_xlfn.IFS(
  AND(D31&gt;=2195, D31&lt;=2249), "①-1",
  AND(D31&gt;=2250, D31&lt;=2299), "①-2",
  AND(D31&gt;=2300, D31&lt;=2349), "①-3",
  AND(D31&gt;=2350, D31&lt;=2384), "①-4",
  AND(D31&gt;=2385, D31&lt;=2449), "①-5",
  AND(D31&gt;=2450, D31&lt;=2499), "①-6",
  AND(D31&gt;=2500, D31&lt;=2600), "①-7",
  AND(D31&gt;=2550, D31&lt;=2600), "①-8"
),"")</f>
        <v/>
      </c>
      <c r="K31" s="19" t="str">
        <f t="shared" si="3"/>
        <v/>
      </c>
      <c r="L31" s="19" t="str">
        <f t="shared" si="4"/>
        <v/>
      </c>
    </row>
    <row r="32" spans="2:12" x14ac:dyDescent="0.3">
      <c r="B32" s="9"/>
      <c r="C32" s="9"/>
      <c r="D32" s="9"/>
      <c r="E32" s="10" t="str">
        <f t="shared" si="1"/>
        <v/>
      </c>
      <c r="F32" s="10" t="str">
        <f t="shared" si="2"/>
        <v/>
      </c>
      <c r="G32" s="10" t="str">
        <f t="shared" si="2"/>
        <v/>
      </c>
      <c r="H32" s="10" t="str">
        <f t="shared" si="2"/>
        <v/>
      </c>
      <c r="I32" s="10" t="str">
        <f t="shared" si="0"/>
        <v/>
      </c>
      <c r="J32" s="19" t="str" cm="1">
        <f t="array" ref="J32">IFERROR(_xlfn.IFS(
  AND(D32&gt;=2195, D32&lt;=2249), "①-1",
  AND(D32&gt;=2250, D32&lt;=2299), "①-2",
  AND(D32&gt;=2300, D32&lt;=2349), "①-3",
  AND(D32&gt;=2350, D32&lt;=2384), "①-4",
  AND(D32&gt;=2385, D32&lt;=2449), "①-5",
  AND(D32&gt;=2450, D32&lt;=2499), "①-6",
  AND(D32&gt;=2500, D32&lt;=2600), "①-7",
  AND(D32&gt;=2550, D32&lt;=2600), "①-8"
),"")</f>
        <v/>
      </c>
      <c r="K32" s="19" t="str">
        <f t="shared" si="3"/>
        <v/>
      </c>
      <c r="L32" s="19" t="str">
        <f t="shared" si="4"/>
        <v/>
      </c>
    </row>
    <row r="33" spans="2:12" x14ac:dyDescent="0.3">
      <c r="B33" s="9"/>
      <c r="C33" s="9"/>
      <c r="D33" s="9"/>
      <c r="E33" s="10" t="str">
        <f t="shared" si="1"/>
        <v/>
      </c>
      <c r="F33" s="10" t="str">
        <f t="shared" si="2"/>
        <v/>
      </c>
      <c r="G33" s="10" t="str">
        <f t="shared" si="2"/>
        <v/>
      </c>
      <c r="H33" s="10" t="str">
        <f t="shared" si="2"/>
        <v/>
      </c>
      <c r="I33" s="10" t="str">
        <f t="shared" si="0"/>
        <v/>
      </c>
      <c r="J33" s="19" t="str" cm="1">
        <f t="array" ref="J33">IFERROR(_xlfn.IFS(
  AND(D33&gt;=2195, D33&lt;=2249), "①-1",
  AND(D33&gt;=2250, D33&lt;=2299), "①-2",
  AND(D33&gt;=2300, D33&lt;=2349), "①-3",
  AND(D33&gt;=2350, D33&lt;=2384), "①-4",
  AND(D33&gt;=2385, D33&lt;=2449), "①-5",
  AND(D33&gt;=2450, D33&lt;=2499), "①-6",
  AND(D33&gt;=2500, D33&lt;=2600), "①-7",
  AND(D33&gt;=2550, D33&lt;=2600), "①-8"
),"")</f>
        <v/>
      </c>
      <c r="K33" s="19" t="str">
        <f t="shared" si="3"/>
        <v/>
      </c>
      <c r="L33" s="19" t="str">
        <f t="shared" si="4"/>
        <v/>
      </c>
    </row>
    <row r="34" spans="2:12" x14ac:dyDescent="0.3">
      <c r="B34" s="9"/>
      <c r="C34" s="9"/>
      <c r="D34" s="9"/>
      <c r="E34" s="10" t="str">
        <f t="shared" si="1"/>
        <v/>
      </c>
      <c r="F34" s="10" t="str">
        <f t="shared" si="2"/>
        <v/>
      </c>
      <c r="G34" s="10" t="str">
        <f t="shared" si="2"/>
        <v/>
      </c>
      <c r="H34" s="10" t="str">
        <f t="shared" si="2"/>
        <v/>
      </c>
      <c r="I34" s="10" t="str">
        <f t="shared" si="0"/>
        <v/>
      </c>
      <c r="J34" s="19" t="str" cm="1">
        <f t="array" ref="J34">IFERROR(_xlfn.IFS(
  AND(D34&gt;=2195, D34&lt;=2249), "①-1",
  AND(D34&gt;=2250, D34&lt;=2299), "①-2",
  AND(D34&gt;=2300, D34&lt;=2349), "①-3",
  AND(D34&gt;=2350, D34&lt;=2384), "①-4",
  AND(D34&gt;=2385, D34&lt;=2449), "①-5",
  AND(D34&gt;=2450, D34&lt;=2499), "①-6",
  AND(D34&gt;=2500, D34&lt;=2600), "①-7",
  AND(D34&gt;=2550, D34&lt;=2600), "①-8"
),"")</f>
        <v/>
      </c>
      <c r="K34" s="19" t="str">
        <f t="shared" si="3"/>
        <v/>
      </c>
      <c r="L34" s="19" t="str">
        <f t="shared" si="4"/>
        <v/>
      </c>
    </row>
    <row r="35" spans="2:12" x14ac:dyDescent="0.3">
      <c r="B35" s="9"/>
      <c r="C35" s="9"/>
      <c r="D35" s="9"/>
      <c r="E35" s="10" t="str">
        <f t="shared" si="1"/>
        <v/>
      </c>
      <c r="F35" s="10" t="str">
        <f t="shared" si="2"/>
        <v/>
      </c>
      <c r="G35" s="10" t="str">
        <f t="shared" si="2"/>
        <v/>
      </c>
      <c r="H35" s="10" t="str">
        <f t="shared" si="2"/>
        <v/>
      </c>
      <c r="I35" s="10" t="str">
        <f t="shared" si="0"/>
        <v/>
      </c>
      <c r="J35" s="19" t="str" cm="1">
        <f t="array" ref="J35">IFERROR(_xlfn.IFS(
  AND(D35&gt;=2195, D35&lt;=2249), "①-1",
  AND(D35&gt;=2250, D35&lt;=2299), "①-2",
  AND(D35&gt;=2300, D35&lt;=2349), "①-3",
  AND(D35&gt;=2350, D35&lt;=2384), "①-4",
  AND(D35&gt;=2385, D35&lt;=2449), "①-5",
  AND(D35&gt;=2450, D35&lt;=2499), "①-6",
  AND(D35&gt;=2500, D35&lt;=2600), "①-7",
  AND(D35&gt;=2550, D35&lt;=2600), "①-8"
),"")</f>
        <v/>
      </c>
      <c r="K35" s="19" t="str">
        <f t="shared" si="3"/>
        <v/>
      </c>
      <c r="L35" s="19" t="str">
        <f t="shared" si="4"/>
        <v/>
      </c>
    </row>
    <row r="36" spans="2:12" x14ac:dyDescent="0.3">
      <c r="B36" s="9"/>
      <c r="C36" s="9"/>
      <c r="D36" s="9"/>
      <c r="E36" s="10" t="str">
        <f t="shared" si="1"/>
        <v/>
      </c>
      <c r="F36" s="10" t="str">
        <f t="shared" si="2"/>
        <v/>
      </c>
      <c r="G36" s="10" t="str">
        <f t="shared" si="2"/>
        <v/>
      </c>
      <c r="H36" s="10" t="str">
        <f t="shared" si="2"/>
        <v/>
      </c>
      <c r="I36" s="10" t="str">
        <f t="shared" si="0"/>
        <v/>
      </c>
      <c r="J36" s="19" t="str" cm="1">
        <f t="array" ref="J36">IFERROR(_xlfn.IFS(
  AND(D36&gt;=2195, D36&lt;=2249), "①-1",
  AND(D36&gt;=2250, D36&lt;=2299), "①-2",
  AND(D36&gt;=2300, D36&lt;=2349), "①-3",
  AND(D36&gt;=2350, D36&lt;=2384), "①-4",
  AND(D36&gt;=2385, D36&lt;=2449), "①-5",
  AND(D36&gt;=2450, D36&lt;=2499), "①-6",
  AND(D36&gt;=2500, D36&lt;=2600), "①-7",
  AND(D36&gt;=2550, D36&lt;=2600), "①-8"
),"")</f>
        <v/>
      </c>
      <c r="K36" s="19" t="str">
        <f t="shared" si="3"/>
        <v/>
      </c>
      <c r="L36" s="19" t="str">
        <f t="shared" si="4"/>
        <v/>
      </c>
    </row>
    <row r="37" spans="2:12" x14ac:dyDescent="0.3">
      <c r="B37" s="9"/>
      <c r="C37" s="9"/>
      <c r="D37" s="9"/>
      <c r="E37" s="10" t="str">
        <f t="shared" si="1"/>
        <v/>
      </c>
      <c r="F37" s="10" t="str">
        <f t="shared" si="2"/>
        <v/>
      </c>
      <c r="G37" s="10" t="str">
        <f t="shared" si="2"/>
        <v/>
      </c>
      <c r="H37" s="10" t="str">
        <f t="shared" si="2"/>
        <v/>
      </c>
      <c r="I37" s="10" t="str">
        <f t="shared" si="0"/>
        <v/>
      </c>
      <c r="J37" s="19" t="str" cm="1">
        <f t="array" ref="J37">IFERROR(_xlfn.IFS(
  AND(D37&gt;=2195, D37&lt;=2249), "①-1",
  AND(D37&gt;=2250, D37&lt;=2299), "①-2",
  AND(D37&gt;=2300, D37&lt;=2349), "①-3",
  AND(D37&gt;=2350, D37&lt;=2384), "①-4",
  AND(D37&gt;=2385, D37&lt;=2449), "①-5",
  AND(D37&gt;=2450, D37&lt;=2499), "①-6",
  AND(D37&gt;=2500, D37&lt;=2600), "①-7",
  AND(D37&gt;=2550, D37&lt;=2600), "①-8"
),"")</f>
        <v/>
      </c>
      <c r="K37" s="19" t="str">
        <f t="shared" si="3"/>
        <v/>
      </c>
      <c r="L37" s="19" t="str">
        <f t="shared" si="4"/>
        <v/>
      </c>
    </row>
    <row r="38" spans="2:12" x14ac:dyDescent="0.3">
      <c r="B38" s="9"/>
      <c r="C38" s="9"/>
      <c r="D38" s="9"/>
      <c r="E38" s="10" t="str">
        <f t="shared" si="1"/>
        <v/>
      </c>
      <c r="F38" s="10" t="str">
        <f t="shared" ref="F38:I69" si="5">$E38</f>
        <v/>
      </c>
      <c r="G38" s="10" t="str">
        <f t="shared" si="5"/>
        <v/>
      </c>
      <c r="H38" s="10" t="str">
        <f t="shared" si="5"/>
        <v/>
      </c>
      <c r="I38" s="10" t="str">
        <f t="shared" si="0"/>
        <v/>
      </c>
      <c r="J38" s="19" t="str" cm="1">
        <f t="array" ref="J38">IFERROR(_xlfn.IFS(
  AND(D38&gt;=2195, D38&lt;=2249), "①-1",
  AND(D38&gt;=2250, D38&lt;=2299), "①-2",
  AND(D38&gt;=2300, D38&lt;=2349), "①-3",
  AND(D38&gt;=2350, D38&lt;=2384), "①-4",
  AND(D38&gt;=2385, D38&lt;=2449), "①-5",
  AND(D38&gt;=2450, D38&lt;=2499), "①-6",
  AND(D38&gt;=2500, D38&lt;=2600), "①-7",
  AND(D38&gt;=2550, D38&lt;=2600), "①-8"
),"")</f>
        <v/>
      </c>
      <c r="K38" s="19" t="str">
        <f t="shared" si="3"/>
        <v/>
      </c>
      <c r="L38" s="19" t="str">
        <f t="shared" si="4"/>
        <v/>
      </c>
    </row>
    <row r="39" spans="2:12" x14ac:dyDescent="0.3">
      <c r="B39" s="9"/>
      <c r="C39" s="9"/>
      <c r="D39" s="9"/>
      <c r="E39" s="10" t="str">
        <f t="shared" si="1"/>
        <v/>
      </c>
      <c r="F39" s="10" t="str">
        <f t="shared" si="5"/>
        <v/>
      </c>
      <c r="G39" s="10" t="str">
        <f t="shared" si="5"/>
        <v/>
      </c>
      <c r="H39" s="10" t="str">
        <f t="shared" si="5"/>
        <v/>
      </c>
      <c r="I39" s="10" t="str">
        <f t="shared" si="0"/>
        <v/>
      </c>
      <c r="J39" s="19" t="str" cm="1">
        <f t="array" ref="J39">IFERROR(_xlfn.IFS(
  AND(D39&gt;=2195, D39&lt;=2249), "①-1",
  AND(D39&gt;=2250, D39&lt;=2299), "①-2",
  AND(D39&gt;=2300, D39&lt;=2349), "①-3",
  AND(D39&gt;=2350, D39&lt;=2384), "①-4",
  AND(D39&gt;=2385, D39&lt;=2449), "①-5",
  AND(D39&gt;=2450, D39&lt;=2499), "①-6",
  AND(D39&gt;=2500, D39&lt;=2600), "①-7",
  AND(D39&gt;=2550, D39&lt;=2600), "①-8"
),"")</f>
        <v/>
      </c>
      <c r="K39" s="19" t="str">
        <f t="shared" si="3"/>
        <v/>
      </c>
      <c r="L39" s="19" t="str">
        <f t="shared" si="4"/>
        <v/>
      </c>
    </row>
    <row r="40" spans="2:12" x14ac:dyDescent="0.3">
      <c r="B40" s="9"/>
      <c r="C40" s="9"/>
      <c r="D40" s="9"/>
      <c r="E40" s="10" t="str">
        <f t="shared" si="1"/>
        <v/>
      </c>
      <c r="F40" s="10" t="str">
        <f t="shared" si="5"/>
        <v/>
      </c>
      <c r="G40" s="10" t="str">
        <f t="shared" si="5"/>
        <v/>
      </c>
      <c r="H40" s="10" t="str">
        <f t="shared" si="5"/>
        <v/>
      </c>
      <c r="I40" s="10" t="str">
        <f t="shared" si="0"/>
        <v/>
      </c>
      <c r="J40" s="19" t="str" cm="1">
        <f t="array" ref="J40">IFERROR(_xlfn.IFS(
  AND(D40&gt;=2195, D40&lt;=2249), "①-1",
  AND(D40&gt;=2250, D40&lt;=2299), "①-2",
  AND(D40&gt;=2300, D40&lt;=2349), "①-3",
  AND(D40&gt;=2350, D40&lt;=2384), "①-4",
  AND(D40&gt;=2385, D40&lt;=2449), "①-5",
  AND(D40&gt;=2450, D40&lt;=2499), "①-6",
  AND(D40&gt;=2500, D40&lt;=2600), "①-7",
  AND(D40&gt;=2550, D40&lt;=2600), "①-8"
),"")</f>
        <v/>
      </c>
      <c r="K40" s="19" t="str">
        <f t="shared" si="3"/>
        <v/>
      </c>
      <c r="L40" s="19" t="str">
        <f t="shared" si="4"/>
        <v/>
      </c>
    </row>
    <row r="41" spans="2:12" x14ac:dyDescent="0.3">
      <c r="B41" s="9"/>
      <c r="C41" s="9"/>
      <c r="D41" s="9"/>
      <c r="E41" s="10" t="str">
        <f t="shared" si="1"/>
        <v/>
      </c>
      <c r="F41" s="10" t="str">
        <f t="shared" si="5"/>
        <v/>
      </c>
      <c r="G41" s="10" t="str">
        <f t="shared" si="5"/>
        <v/>
      </c>
      <c r="H41" s="10" t="str">
        <f t="shared" si="5"/>
        <v/>
      </c>
      <c r="I41" s="10" t="str">
        <f t="shared" si="0"/>
        <v/>
      </c>
      <c r="J41" s="19" t="str" cm="1">
        <f t="array" ref="J41">IFERROR(_xlfn.IFS(
  AND(D41&gt;=2195, D41&lt;=2249), "①-1",
  AND(D41&gt;=2250, D41&lt;=2299), "①-2",
  AND(D41&gt;=2300, D41&lt;=2349), "①-3",
  AND(D41&gt;=2350, D41&lt;=2384), "①-4",
  AND(D41&gt;=2385, D41&lt;=2449), "①-5",
  AND(D41&gt;=2450, D41&lt;=2499), "①-6",
  AND(D41&gt;=2500, D41&lt;=2600), "①-7",
  AND(D41&gt;=2550, D41&lt;=2600), "①-8"
),"")</f>
        <v/>
      </c>
      <c r="K41" s="19" t="str">
        <f t="shared" si="3"/>
        <v/>
      </c>
      <c r="L41" s="19" t="str">
        <f t="shared" si="4"/>
        <v/>
      </c>
    </row>
    <row r="42" spans="2:12" x14ac:dyDescent="0.3">
      <c r="B42" s="9"/>
      <c r="C42" s="9"/>
      <c r="D42" s="9"/>
      <c r="E42" s="10" t="str">
        <f t="shared" si="1"/>
        <v/>
      </c>
      <c r="F42" s="10" t="str">
        <f t="shared" si="5"/>
        <v/>
      </c>
      <c r="G42" s="10" t="str">
        <f t="shared" si="5"/>
        <v/>
      </c>
      <c r="H42" s="10" t="str">
        <f t="shared" si="5"/>
        <v/>
      </c>
      <c r="I42" s="10" t="str">
        <f t="shared" si="0"/>
        <v/>
      </c>
      <c r="J42" s="19" t="str" cm="1">
        <f t="array" ref="J42">IFERROR(_xlfn.IFS(
  AND(D42&gt;=2195, D42&lt;=2249), "①-1",
  AND(D42&gt;=2250, D42&lt;=2299), "①-2",
  AND(D42&gt;=2300, D42&lt;=2349), "①-3",
  AND(D42&gt;=2350, D42&lt;=2384), "①-4",
  AND(D42&gt;=2385, D42&lt;=2449), "①-5",
  AND(D42&gt;=2450, D42&lt;=2499), "①-6",
  AND(D42&gt;=2500, D42&lt;=2600), "①-7",
  AND(D42&gt;=2550, D42&lt;=2600), "①-8"
),"")</f>
        <v/>
      </c>
      <c r="K42" s="19" t="str">
        <f t="shared" si="3"/>
        <v/>
      </c>
      <c r="L42" s="19" t="str">
        <f t="shared" si="4"/>
        <v/>
      </c>
    </row>
    <row r="43" spans="2:12" x14ac:dyDescent="0.3">
      <c r="B43" s="9"/>
      <c r="C43" s="9"/>
      <c r="D43" s="9"/>
      <c r="E43" s="10" t="str">
        <f t="shared" si="1"/>
        <v/>
      </c>
      <c r="F43" s="10" t="str">
        <f t="shared" si="5"/>
        <v/>
      </c>
      <c r="G43" s="10" t="str">
        <f t="shared" si="5"/>
        <v/>
      </c>
      <c r="H43" s="10" t="str">
        <f t="shared" si="5"/>
        <v/>
      </c>
      <c r="I43" s="10" t="str">
        <f t="shared" si="0"/>
        <v/>
      </c>
      <c r="J43" s="19" t="str" cm="1">
        <f t="array" ref="J43">IFERROR(_xlfn.IFS(
  AND(D43&gt;=2195, D43&lt;=2249), "①-1",
  AND(D43&gt;=2250, D43&lt;=2299), "①-2",
  AND(D43&gt;=2300, D43&lt;=2349), "①-3",
  AND(D43&gt;=2350, D43&lt;=2384), "①-4",
  AND(D43&gt;=2385, D43&lt;=2449), "①-5",
  AND(D43&gt;=2450, D43&lt;=2499), "①-6",
  AND(D43&gt;=2500, D43&lt;=2600), "①-7",
  AND(D43&gt;=2550, D43&lt;=2600), "①-8"
),"")</f>
        <v/>
      </c>
      <c r="K43" s="19" t="str">
        <f t="shared" si="3"/>
        <v/>
      </c>
      <c r="L43" s="19" t="str">
        <f t="shared" si="4"/>
        <v/>
      </c>
    </row>
    <row r="44" spans="2:12" x14ac:dyDescent="0.3">
      <c r="B44" s="9"/>
      <c r="C44" s="9"/>
      <c r="D44" s="9"/>
      <c r="E44" s="10" t="str">
        <f t="shared" si="1"/>
        <v/>
      </c>
      <c r="F44" s="10" t="str">
        <f t="shared" si="5"/>
        <v/>
      </c>
      <c r="G44" s="10" t="str">
        <f t="shared" si="5"/>
        <v/>
      </c>
      <c r="H44" s="10" t="str">
        <f t="shared" si="5"/>
        <v/>
      </c>
      <c r="I44" s="10" t="str">
        <f t="shared" si="0"/>
        <v/>
      </c>
      <c r="J44" s="19" t="str" cm="1">
        <f t="array" ref="J44">IFERROR(_xlfn.IFS(
  AND(D44&gt;=2195, D44&lt;=2249), "①-1",
  AND(D44&gt;=2250, D44&lt;=2299), "①-2",
  AND(D44&gt;=2300, D44&lt;=2349), "①-3",
  AND(D44&gt;=2350, D44&lt;=2384), "①-4",
  AND(D44&gt;=2385, D44&lt;=2449), "①-5",
  AND(D44&gt;=2450, D44&lt;=2499), "①-6",
  AND(D44&gt;=2500, D44&lt;=2600), "①-7",
  AND(D44&gt;=2550, D44&lt;=2600), "①-8"
),"")</f>
        <v/>
      </c>
      <c r="K44" s="19" t="str">
        <f t="shared" si="3"/>
        <v/>
      </c>
      <c r="L44" s="19" t="str">
        <f t="shared" si="4"/>
        <v/>
      </c>
    </row>
    <row r="45" spans="2:12" x14ac:dyDescent="0.3">
      <c r="B45" s="9"/>
      <c r="C45" s="9"/>
      <c r="D45" s="9"/>
      <c r="E45" s="10" t="str">
        <f t="shared" si="1"/>
        <v/>
      </c>
      <c r="F45" s="10" t="str">
        <f t="shared" si="5"/>
        <v/>
      </c>
      <c r="G45" s="10" t="str">
        <f t="shared" si="5"/>
        <v/>
      </c>
      <c r="H45" s="10" t="str">
        <f t="shared" si="5"/>
        <v/>
      </c>
      <c r="I45" s="10" t="str">
        <f t="shared" si="0"/>
        <v/>
      </c>
      <c r="J45" s="19" t="str" cm="1">
        <f t="array" ref="J45">IFERROR(_xlfn.IFS(
  AND(D45&gt;=2195, D45&lt;=2249), "①-1",
  AND(D45&gt;=2250, D45&lt;=2299), "①-2",
  AND(D45&gt;=2300, D45&lt;=2349), "①-3",
  AND(D45&gt;=2350, D45&lt;=2384), "①-4",
  AND(D45&gt;=2385, D45&lt;=2449), "①-5",
  AND(D45&gt;=2450, D45&lt;=2499), "①-6",
  AND(D45&gt;=2500, D45&lt;=2600), "①-7",
  AND(D45&gt;=2550, D45&lt;=2600), "①-8"
),"")</f>
        <v/>
      </c>
      <c r="K45" s="19" t="str">
        <f t="shared" si="3"/>
        <v/>
      </c>
      <c r="L45" s="19" t="str">
        <f t="shared" si="4"/>
        <v/>
      </c>
    </row>
    <row r="46" spans="2:12" x14ac:dyDescent="0.3">
      <c r="B46" s="9"/>
      <c r="C46" s="9"/>
      <c r="D46" s="9"/>
      <c r="E46" s="10" t="str">
        <f t="shared" si="1"/>
        <v/>
      </c>
      <c r="F46" s="10" t="str">
        <f t="shared" si="5"/>
        <v/>
      </c>
      <c r="G46" s="10" t="str">
        <f t="shared" si="5"/>
        <v/>
      </c>
      <c r="H46" s="10" t="str">
        <f t="shared" si="5"/>
        <v/>
      </c>
      <c r="I46" s="10" t="str">
        <f t="shared" si="0"/>
        <v/>
      </c>
      <c r="J46" s="19" t="str" cm="1">
        <f t="array" ref="J46">IFERROR(_xlfn.IFS(
  AND(D46&gt;=2195, D46&lt;=2249), "①-1",
  AND(D46&gt;=2250, D46&lt;=2299), "①-2",
  AND(D46&gt;=2300, D46&lt;=2349), "①-3",
  AND(D46&gt;=2350, D46&lt;=2384), "①-4",
  AND(D46&gt;=2385, D46&lt;=2449), "①-5",
  AND(D46&gt;=2450, D46&lt;=2499), "①-6",
  AND(D46&gt;=2500, D46&lt;=2600), "①-7",
  AND(D46&gt;=2550, D46&lt;=2600), "①-8"
),"")</f>
        <v/>
      </c>
      <c r="K46" s="19" t="str">
        <f t="shared" si="3"/>
        <v/>
      </c>
      <c r="L46" s="19" t="str">
        <f t="shared" si="4"/>
        <v/>
      </c>
    </row>
    <row r="47" spans="2:12" x14ac:dyDescent="0.3">
      <c r="B47" s="9"/>
      <c r="C47" s="9"/>
      <c r="D47" s="9"/>
      <c r="E47" s="10" t="str">
        <f t="shared" si="1"/>
        <v/>
      </c>
      <c r="F47" s="10" t="str">
        <f t="shared" si="5"/>
        <v/>
      </c>
      <c r="G47" s="10" t="str">
        <f t="shared" si="5"/>
        <v/>
      </c>
      <c r="H47" s="10" t="str">
        <f t="shared" si="5"/>
        <v/>
      </c>
      <c r="I47" s="10" t="str">
        <f t="shared" si="0"/>
        <v/>
      </c>
      <c r="J47" s="19" t="str" cm="1">
        <f t="array" ref="J47">IFERROR(_xlfn.IFS(
  AND(D47&gt;=2195, D47&lt;=2249), "①-1",
  AND(D47&gt;=2250, D47&lt;=2299), "①-2",
  AND(D47&gt;=2300, D47&lt;=2349), "①-3",
  AND(D47&gt;=2350, D47&lt;=2384), "①-4",
  AND(D47&gt;=2385, D47&lt;=2449), "①-5",
  AND(D47&gt;=2450, D47&lt;=2499), "①-6",
  AND(D47&gt;=2500, D47&lt;=2600), "①-7",
  AND(D47&gt;=2550, D47&lt;=2600), "①-8"
),"")</f>
        <v/>
      </c>
      <c r="K47" s="19" t="str">
        <f t="shared" si="3"/>
        <v/>
      </c>
      <c r="L47" s="19" t="str">
        <f t="shared" si="4"/>
        <v/>
      </c>
    </row>
    <row r="48" spans="2:12" x14ac:dyDescent="0.3">
      <c r="B48" s="9"/>
      <c r="C48" s="9"/>
      <c r="D48" s="9"/>
      <c r="E48" s="10" t="str">
        <f t="shared" si="1"/>
        <v/>
      </c>
      <c r="F48" s="10" t="str">
        <f t="shared" si="5"/>
        <v/>
      </c>
      <c r="G48" s="10" t="str">
        <f t="shared" si="5"/>
        <v/>
      </c>
      <c r="H48" s="10" t="str">
        <f t="shared" si="5"/>
        <v/>
      </c>
      <c r="I48" s="10" t="str">
        <f t="shared" si="0"/>
        <v/>
      </c>
      <c r="J48" s="19" t="str" cm="1">
        <f t="array" ref="J48">IFERROR(_xlfn.IFS(
  AND(D48&gt;=2195, D48&lt;=2249), "①-1",
  AND(D48&gt;=2250, D48&lt;=2299), "①-2",
  AND(D48&gt;=2300, D48&lt;=2349), "①-3",
  AND(D48&gt;=2350, D48&lt;=2384), "①-4",
  AND(D48&gt;=2385, D48&lt;=2449), "①-5",
  AND(D48&gt;=2450, D48&lt;=2499), "①-6",
  AND(D48&gt;=2500, D48&lt;=2600), "①-7",
  AND(D48&gt;=2550, D48&lt;=2600), "①-8"
),"")</f>
        <v/>
      </c>
      <c r="K48" s="19" t="str">
        <f t="shared" si="3"/>
        <v/>
      </c>
      <c r="L48" s="19" t="str">
        <f t="shared" si="4"/>
        <v/>
      </c>
    </row>
    <row r="49" spans="2:12" x14ac:dyDescent="0.3">
      <c r="B49" s="9"/>
      <c r="C49" s="9"/>
      <c r="D49" s="9"/>
      <c r="E49" s="10" t="str">
        <f t="shared" si="1"/>
        <v/>
      </c>
      <c r="F49" s="10" t="str">
        <f t="shared" si="5"/>
        <v/>
      </c>
      <c r="G49" s="10" t="str">
        <f t="shared" si="5"/>
        <v/>
      </c>
      <c r="H49" s="10" t="str">
        <f t="shared" si="5"/>
        <v/>
      </c>
      <c r="I49" s="10" t="str">
        <f t="shared" si="0"/>
        <v/>
      </c>
      <c r="J49" s="19" t="str" cm="1">
        <f t="array" ref="J49">IFERROR(_xlfn.IFS(
  AND(D49&gt;=2195, D49&lt;=2249), "①-1",
  AND(D49&gt;=2250, D49&lt;=2299), "①-2",
  AND(D49&gt;=2300, D49&lt;=2349), "①-3",
  AND(D49&gt;=2350, D49&lt;=2384), "①-4",
  AND(D49&gt;=2385, D49&lt;=2449), "①-5",
  AND(D49&gt;=2450, D49&lt;=2499), "①-6",
  AND(D49&gt;=2500, D49&lt;=2600), "①-7",
  AND(D49&gt;=2550, D49&lt;=2600), "①-8"
),"")</f>
        <v/>
      </c>
      <c r="K49" s="19" t="str">
        <f t="shared" si="3"/>
        <v/>
      </c>
      <c r="L49" s="19" t="str">
        <f t="shared" si="4"/>
        <v/>
      </c>
    </row>
    <row r="50" spans="2:12" x14ac:dyDescent="0.3">
      <c r="B50" s="9"/>
      <c r="C50" s="9"/>
      <c r="D50" s="9"/>
      <c r="E50" s="10" t="str">
        <f t="shared" si="1"/>
        <v/>
      </c>
      <c r="F50" s="10" t="str">
        <f t="shared" si="5"/>
        <v/>
      </c>
      <c r="G50" s="10" t="str">
        <f t="shared" si="5"/>
        <v/>
      </c>
      <c r="H50" s="10" t="str">
        <f t="shared" si="5"/>
        <v/>
      </c>
      <c r="I50" s="10" t="str">
        <f t="shared" si="0"/>
        <v/>
      </c>
      <c r="J50" s="19" t="str" cm="1">
        <f t="array" ref="J50">IFERROR(_xlfn.IFS(
  AND(D50&gt;=2195, D50&lt;=2249), "①-1",
  AND(D50&gt;=2250, D50&lt;=2299), "①-2",
  AND(D50&gt;=2300, D50&lt;=2349), "①-3",
  AND(D50&gt;=2350, D50&lt;=2384), "①-4",
  AND(D50&gt;=2385, D50&lt;=2449), "①-5",
  AND(D50&gt;=2450, D50&lt;=2499), "①-6",
  AND(D50&gt;=2500, D50&lt;=2600), "①-7",
  AND(D50&gt;=2550, D50&lt;=2600), "①-8"
),"")</f>
        <v/>
      </c>
      <c r="K50" s="19" t="str">
        <f t="shared" si="3"/>
        <v/>
      </c>
      <c r="L50" s="19" t="str">
        <f t="shared" si="4"/>
        <v/>
      </c>
    </row>
    <row r="51" spans="2:12" x14ac:dyDescent="0.3">
      <c r="B51" s="9"/>
      <c r="C51" s="9"/>
      <c r="D51" s="9"/>
      <c r="E51" s="10" t="str">
        <f t="shared" si="1"/>
        <v/>
      </c>
      <c r="F51" s="10" t="str">
        <f t="shared" si="5"/>
        <v/>
      </c>
      <c r="G51" s="10" t="str">
        <f t="shared" si="5"/>
        <v/>
      </c>
      <c r="H51" s="10" t="str">
        <f t="shared" si="5"/>
        <v/>
      </c>
      <c r="I51" s="10" t="str">
        <f t="shared" si="0"/>
        <v/>
      </c>
      <c r="J51" s="19" t="str" cm="1">
        <f t="array" ref="J51">IFERROR(_xlfn.IFS(
  AND(D51&gt;=2195, D51&lt;=2249), "①-1",
  AND(D51&gt;=2250, D51&lt;=2299), "①-2",
  AND(D51&gt;=2300, D51&lt;=2349), "①-3",
  AND(D51&gt;=2350, D51&lt;=2384), "①-4",
  AND(D51&gt;=2385, D51&lt;=2449), "①-5",
  AND(D51&gt;=2450, D51&lt;=2499), "①-6",
  AND(D51&gt;=2500, D51&lt;=2600), "①-7",
  AND(D51&gt;=2550, D51&lt;=2600), "①-8"
),"")</f>
        <v/>
      </c>
      <c r="K51" s="19" t="str">
        <f t="shared" si="3"/>
        <v/>
      </c>
      <c r="L51" s="19" t="str">
        <f t="shared" si="4"/>
        <v/>
      </c>
    </row>
    <row r="52" spans="2:12" x14ac:dyDescent="0.3">
      <c r="B52" s="9"/>
      <c r="C52" s="9"/>
      <c r="D52" s="9"/>
      <c r="E52" s="10" t="str">
        <f t="shared" si="1"/>
        <v/>
      </c>
      <c r="F52" s="10" t="str">
        <f t="shared" si="5"/>
        <v/>
      </c>
      <c r="G52" s="10" t="str">
        <f t="shared" si="5"/>
        <v/>
      </c>
      <c r="H52" s="10" t="str">
        <f t="shared" si="5"/>
        <v/>
      </c>
      <c r="I52" s="10" t="str">
        <f t="shared" si="0"/>
        <v/>
      </c>
      <c r="J52" s="19" t="str" cm="1">
        <f t="array" ref="J52">IFERROR(_xlfn.IFS(
  AND(D52&gt;=2195, D52&lt;=2249), "①-1",
  AND(D52&gt;=2250, D52&lt;=2299), "①-2",
  AND(D52&gt;=2300, D52&lt;=2349), "①-3",
  AND(D52&gt;=2350, D52&lt;=2384), "①-4",
  AND(D52&gt;=2385, D52&lt;=2449), "①-5",
  AND(D52&gt;=2450, D52&lt;=2499), "①-6",
  AND(D52&gt;=2500, D52&lt;=2600), "①-7",
  AND(D52&gt;=2550, D52&lt;=2600), "①-8"
),"")</f>
        <v/>
      </c>
      <c r="K52" s="19" t="str">
        <f t="shared" si="3"/>
        <v/>
      </c>
      <c r="L52" s="19" t="str">
        <f t="shared" si="4"/>
        <v/>
      </c>
    </row>
    <row r="53" spans="2:12" x14ac:dyDescent="0.3">
      <c r="B53" s="9"/>
      <c r="C53" s="9"/>
      <c r="D53" s="9"/>
      <c r="E53" s="10" t="str">
        <f t="shared" si="1"/>
        <v/>
      </c>
      <c r="F53" s="10" t="str">
        <f t="shared" si="5"/>
        <v/>
      </c>
      <c r="G53" s="10" t="str">
        <f t="shared" si="5"/>
        <v/>
      </c>
      <c r="H53" s="10" t="str">
        <f t="shared" si="5"/>
        <v/>
      </c>
      <c r="I53" s="10" t="str">
        <f t="shared" si="0"/>
        <v/>
      </c>
      <c r="J53" s="19" t="str" cm="1">
        <f t="array" ref="J53">IFERROR(_xlfn.IFS(
  AND(D53&gt;=2195, D53&lt;=2249), "①-1",
  AND(D53&gt;=2250, D53&lt;=2299), "①-2",
  AND(D53&gt;=2300, D53&lt;=2349), "①-3",
  AND(D53&gt;=2350, D53&lt;=2384), "①-4",
  AND(D53&gt;=2385, D53&lt;=2449), "①-5",
  AND(D53&gt;=2450, D53&lt;=2499), "①-6",
  AND(D53&gt;=2500, D53&lt;=2600), "①-7",
  AND(D53&gt;=2550, D53&lt;=2600), "①-8"
),"")</f>
        <v/>
      </c>
      <c r="K53" s="19" t="str">
        <f t="shared" si="3"/>
        <v/>
      </c>
      <c r="L53" s="19" t="str">
        <f t="shared" si="4"/>
        <v/>
      </c>
    </row>
    <row r="54" spans="2:12" x14ac:dyDescent="0.3">
      <c r="B54" s="9"/>
      <c r="C54" s="9"/>
      <c r="D54" s="9"/>
      <c r="E54" s="10" t="str">
        <f t="shared" si="1"/>
        <v/>
      </c>
      <c r="F54" s="10" t="str">
        <f t="shared" si="5"/>
        <v/>
      </c>
      <c r="G54" s="10" t="str">
        <f t="shared" si="5"/>
        <v/>
      </c>
      <c r="H54" s="10" t="str">
        <f t="shared" si="5"/>
        <v/>
      </c>
      <c r="I54" s="10" t="str">
        <f t="shared" si="0"/>
        <v/>
      </c>
      <c r="J54" s="19" t="str" cm="1">
        <f t="array" ref="J54">IFERROR(_xlfn.IFS(
  AND(D54&gt;=2195, D54&lt;=2249), "①-1",
  AND(D54&gt;=2250, D54&lt;=2299), "①-2",
  AND(D54&gt;=2300, D54&lt;=2349), "①-3",
  AND(D54&gt;=2350, D54&lt;=2384), "①-4",
  AND(D54&gt;=2385, D54&lt;=2449), "①-5",
  AND(D54&gt;=2450, D54&lt;=2499), "①-6",
  AND(D54&gt;=2500, D54&lt;=2600), "①-7",
  AND(D54&gt;=2550, D54&lt;=2600), "①-8"
),"")</f>
        <v/>
      </c>
      <c r="K54" s="19" t="str">
        <f t="shared" si="3"/>
        <v/>
      </c>
      <c r="L54" s="19" t="str">
        <f t="shared" si="4"/>
        <v/>
      </c>
    </row>
    <row r="55" spans="2:12" x14ac:dyDescent="0.3">
      <c r="B55" s="9"/>
      <c r="C55" s="9"/>
      <c r="D55" s="9"/>
      <c r="E55" s="10" t="str">
        <f t="shared" si="1"/>
        <v/>
      </c>
      <c r="F55" s="10" t="str">
        <f t="shared" si="5"/>
        <v/>
      </c>
      <c r="G55" s="10" t="str">
        <f t="shared" si="5"/>
        <v/>
      </c>
      <c r="H55" s="10" t="str">
        <f t="shared" si="5"/>
        <v/>
      </c>
      <c r="I55" s="10" t="str">
        <f t="shared" si="0"/>
        <v/>
      </c>
      <c r="J55" s="19" t="str" cm="1">
        <f t="array" ref="J55">IFERROR(_xlfn.IFS(
  AND(D55&gt;=2195, D55&lt;=2249), "①-1",
  AND(D55&gt;=2250, D55&lt;=2299), "①-2",
  AND(D55&gt;=2300, D55&lt;=2349), "①-3",
  AND(D55&gt;=2350, D55&lt;=2384), "①-4",
  AND(D55&gt;=2385, D55&lt;=2449), "①-5",
  AND(D55&gt;=2450, D55&lt;=2499), "①-6",
  AND(D55&gt;=2500, D55&lt;=2600), "①-7",
  AND(D55&gt;=2550, D55&lt;=2600), "①-8"
),"")</f>
        <v/>
      </c>
      <c r="K55" s="19" t="str">
        <f t="shared" si="3"/>
        <v/>
      </c>
      <c r="L55" s="19" t="str">
        <f t="shared" si="4"/>
        <v/>
      </c>
    </row>
    <row r="56" spans="2:12" x14ac:dyDescent="0.3">
      <c r="B56" s="9"/>
      <c r="C56" s="9"/>
      <c r="D56" s="9"/>
      <c r="E56" s="10" t="str">
        <f t="shared" si="1"/>
        <v/>
      </c>
      <c r="F56" s="10" t="str">
        <f t="shared" si="5"/>
        <v/>
      </c>
      <c r="G56" s="10" t="str">
        <f t="shared" si="5"/>
        <v/>
      </c>
      <c r="H56" s="10" t="str">
        <f t="shared" si="5"/>
        <v/>
      </c>
      <c r="I56" s="10" t="str">
        <f t="shared" si="0"/>
        <v/>
      </c>
      <c r="J56" s="19" t="str" cm="1">
        <f t="array" ref="J56">IFERROR(_xlfn.IFS(
  AND(D56&gt;=2195, D56&lt;=2249), "①-1",
  AND(D56&gt;=2250, D56&lt;=2299), "①-2",
  AND(D56&gt;=2300, D56&lt;=2349), "①-3",
  AND(D56&gt;=2350, D56&lt;=2384), "①-4",
  AND(D56&gt;=2385, D56&lt;=2449), "①-5",
  AND(D56&gt;=2450, D56&lt;=2499), "①-6",
  AND(D56&gt;=2500, D56&lt;=2600), "①-7",
  AND(D56&gt;=2550, D56&lt;=2600), "①-8"
),"")</f>
        <v/>
      </c>
      <c r="K56" s="19" t="str">
        <f t="shared" si="3"/>
        <v/>
      </c>
      <c r="L56" s="19" t="str">
        <f t="shared" si="4"/>
        <v/>
      </c>
    </row>
    <row r="57" spans="2:12" x14ac:dyDescent="0.3">
      <c r="B57" s="9"/>
      <c r="C57" s="9"/>
      <c r="D57" s="9"/>
      <c r="E57" s="10" t="str">
        <f t="shared" si="1"/>
        <v/>
      </c>
      <c r="F57" s="10" t="str">
        <f t="shared" si="5"/>
        <v/>
      </c>
      <c r="G57" s="10" t="str">
        <f t="shared" si="5"/>
        <v/>
      </c>
      <c r="H57" s="10" t="str">
        <f t="shared" si="5"/>
        <v/>
      </c>
      <c r="I57" s="10" t="str">
        <f t="shared" si="0"/>
        <v/>
      </c>
      <c r="J57" s="19" t="str" cm="1">
        <f t="array" ref="J57">IFERROR(_xlfn.IFS(
  AND(D57&gt;=2195, D57&lt;=2249), "①-1",
  AND(D57&gt;=2250, D57&lt;=2299), "①-2",
  AND(D57&gt;=2300, D57&lt;=2349), "①-3",
  AND(D57&gt;=2350, D57&lt;=2384), "①-4",
  AND(D57&gt;=2385, D57&lt;=2449), "①-5",
  AND(D57&gt;=2450, D57&lt;=2499), "①-6",
  AND(D57&gt;=2500, D57&lt;=2600), "①-7",
  AND(D57&gt;=2550, D57&lt;=2600), "①-8"
),"")</f>
        <v/>
      </c>
      <c r="K57" s="19" t="str">
        <f t="shared" si="3"/>
        <v/>
      </c>
      <c r="L57" s="19" t="str">
        <f t="shared" si="4"/>
        <v/>
      </c>
    </row>
    <row r="58" spans="2:12" x14ac:dyDescent="0.3">
      <c r="B58" s="9"/>
      <c r="C58" s="9"/>
      <c r="D58" s="9"/>
      <c r="E58" s="10" t="str">
        <f t="shared" si="1"/>
        <v/>
      </c>
      <c r="F58" s="10" t="str">
        <f t="shared" si="5"/>
        <v/>
      </c>
      <c r="G58" s="10" t="str">
        <f t="shared" si="5"/>
        <v/>
      </c>
      <c r="H58" s="10" t="str">
        <f t="shared" si="5"/>
        <v/>
      </c>
      <c r="I58" s="10" t="str">
        <f t="shared" si="0"/>
        <v/>
      </c>
      <c r="J58" s="19" t="str" cm="1">
        <f t="array" ref="J58">IFERROR(_xlfn.IFS(
  AND(D58&gt;=2195, D58&lt;=2249), "①-1",
  AND(D58&gt;=2250, D58&lt;=2299), "①-2",
  AND(D58&gt;=2300, D58&lt;=2349), "①-3",
  AND(D58&gt;=2350, D58&lt;=2384), "①-4",
  AND(D58&gt;=2385, D58&lt;=2449), "①-5",
  AND(D58&gt;=2450, D58&lt;=2499), "①-6",
  AND(D58&gt;=2500, D58&lt;=2600), "①-7",
  AND(D58&gt;=2550, D58&lt;=2600), "①-8"
),"")</f>
        <v/>
      </c>
      <c r="K58" s="19" t="str">
        <f t="shared" si="3"/>
        <v/>
      </c>
      <c r="L58" s="19" t="str">
        <f t="shared" si="4"/>
        <v/>
      </c>
    </row>
    <row r="59" spans="2:12" x14ac:dyDescent="0.3">
      <c r="B59" s="9"/>
      <c r="C59" s="9"/>
      <c r="D59" s="9"/>
      <c r="E59" s="10" t="str">
        <f t="shared" si="1"/>
        <v/>
      </c>
      <c r="F59" s="10" t="str">
        <f t="shared" si="5"/>
        <v/>
      </c>
      <c r="G59" s="10" t="str">
        <f t="shared" si="5"/>
        <v/>
      </c>
      <c r="H59" s="10" t="str">
        <f t="shared" si="5"/>
        <v/>
      </c>
      <c r="I59" s="10" t="str">
        <f t="shared" si="0"/>
        <v/>
      </c>
      <c r="J59" s="19" t="str" cm="1">
        <f t="array" ref="J59">IFERROR(_xlfn.IFS(
  AND(D59&gt;=2195, D59&lt;=2249), "①-1",
  AND(D59&gt;=2250, D59&lt;=2299), "①-2",
  AND(D59&gt;=2300, D59&lt;=2349), "①-3",
  AND(D59&gt;=2350, D59&lt;=2384), "①-4",
  AND(D59&gt;=2385, D59&lt;=2449), "①-5",
  AND(D59&gt;=2450, D59&lt;=2499), "①-6",
  AND(D59&gt;=2500, D59&lt;=2600), "①-7",
  AND(D59&gt;=2550, D59&lt;=2600), "①-8"
),"")</f>
        <v/>
      </c>
      <c r="K59" s="19" t="str">
        <f t="shared" si="3"/>
        <v/>
      </c>
      <c r="L59" s="19" t="str">
        <f t="shared" si="4"/>
        <v/>
      </c>
    </row>
    <row r="60" spans="2:12" x14ac:dyDescent="0.3">
      <c r="B60" s="9"/>
      <c r="C60" s="9"/>
      <c r="D60" s="9"/>
      <c r="E60" s="10" t="str">
        <f t="shared" si="1"/>
        <v/>
      </c>
      <c r="F60" s="10" t="str">
        <f t="shared" si="5"/>
        <v/>
      </c>
      <c r="G60" s="10" t="str">
        <f t="shared" si="5"/>
        <v/>
      </c>
      <c r="H60" s="10" t="str">
        <f t="shared" si="5"/>
        <v/>
      </c>
      <c r="I60" s="10" t="str">
        <f t="shared" si="0"/>
        <v/>
      </c>
      <c r="J60" s="19" t="str" cm="1">
        <f t="array" ref="J60">IFERROR(_xlfn.IFS(
  AND(D60&gt;=2195, D60&lt;=2249), "①-1",
  AND(D60&gt;=2250, D60&lt;=2299), "①-2",
  AND(D60&gt;=2300, D60&lt;=2349), "①-3",
  AND(D60&gt;=2350, D60&lt;=2384), "①-4",
  AND(D60&gt;=2385, D60&lt;=2449), "①-5",
  AND(D60&gt;=2450, D60&lt;=2499), "①-6",
  AND(D60&gt;=2500, D60&lt;=2600), "①-7",
  AND(D60&gt;=2550, D60&lt;=2600), "①-8"
),"")</f>
        <v/>
      </c>
      <c r="K60" s="19" t="str">
        <f t="shared" si="3"/>
        <v/>
      </c>
      <c r="L60" s="19" t="str">
        <f t="shared" si="4"/>
        <v/>
      </c>
    </row>
    <row r="61" spans="2:12" x14ac:dyDescent="0.3">
      <c r="B61" s="9"/>
      <c r="C61" s="9"/>
      <c r="D61" s="9"/>
      <c r="E61" s="10" t="str">
        <f t="shared" si="1"/>
        <v/>
      </c>
      <c r="F61" s="10" t="str">
        <f t="shared" si="5"/>
        <v/>
      </c>
      <c r="G61" s="10" t="str">
        <f t="shared" si="5"/>
        <v/>
      </c>
      <c r="H61" s="10" t="str">
        <f t="shared" si="5"/>
        <v/>
      </c>
      <c r="I61" s="10" t="str">
        <f t="shared" si="0"/>
        <v/>
      </c>
      <c r="J61" s="19" t="str" cm="1">
        <f t="array" ref="J61">IFERROR(_xlfn.IFS(
  AND(D61&gt;=2195, D61&lt;=2249), "①-1",
  AND(D61&gt;=2250, D61&lt;=2299), "①-2",
  AND(D61&gt;=2300, D61&lt;=2349), "①-3",
  AND(D61&gt;=2350, D61&lt;=2384), "①-4",
  AND(D61&gt;=2385, D61&lt;=2449), "①-5",
  AND(D61&gt;=2450, D61&lt;=2499), "①-6",
  AND(D61&gt;=2500, D61&lt;=2600), "①-7",
  AND(D61&gt;=2550, D61&lt;=2600), "①-8"
),"")</f>
        <v/>
      </c>
      <c r="K61" s="19" t="str">
        <f t="shared" si="3"/>
        <v/>
      </c>
      <c r="L61" s="19" t="str">
        <f t="shared" si="4"/>
        <v/>
      </c>
    </row>
    <row r="62" spans="2:12" x14ac:dyDescent="0.3">
      <c r="B62" s="9"/>
      <c r="C62" s="9"/>
      <c r="D62" s="9"/>
      <c r="E62" s="10" t="str">
        <f t="shared" si="1"/>
        <v/>
      </c>
      <c r="F62" s="10" t="str">
        <f t="shared" si="5"/>
        <v/>
      </c>
      <c r="G62" s="10" t="str">
        <f t="shared" si="5"/>
        <v/>
      </c>
      <c r="H62" s="10" t="str">
        <f t="shared" si="5"/>
        <v/>
      </c>
      <c r="I62" s="10" t="str">
        <f t="shared" si="0"/>
        <v/>
      </c>
      <c r="J62" s="19" t="str" cm="1">
        <f t="array" ref="J62">IFERROR(_xlfn.IFS(
  AND(D62&gt;=2195, D62&lt;=2249), "①-1",
  AND(D62&gt;=2250, D62&lt;=2299), "①-2",
  AND(D62&gt;=2300, D62&lt;=2349), "①-3",
  AND(D62&gt;=2350, D62&lt;=2384), "①-4",
  AND(D62&gt;=2385, D62&lt;=2449), "①-5",
  AND(D62&gt;=2450, D62&lt;=2499), "①-6",
  AND(D62&gt;=2500, D62&lt;=2600), "①-7",
  AND(D62&gt;=2550, D62&lt;=2600), "①-8"
),"")</f>
        <v/>
      </c>
      <c r="K62" s="19" t="str">
        <f t="shared" si="3"/>
        <v/>
      </c>
      <c r="L62" s="19" t="str">
        <f t="shared" si="4"/>
        <v/>
      </c>
    </row>
    <row r="63" spans="2:12" x14ac:dyDescent="0.3">
      <c r="B63" s="9"/>
      <c r="C63" s="9"/>
      <c r="D63" s="9"/>
      <c r="E63" s="10" t="str">
        <f t="shared" si="1"/>
        <v/>
      </c>
      <c r="F63" s="10" t="str">
        <f t="shared" si="5"/>
        <v/>
      </c>
      <c r="G63" s="10" t="str">
        <f t="shared" si="5"/>
        <v/>
      </c>
      <c r="H63" s="10" t="str">
        <f t="shared" si="5"/>
        <v/>
      </c>
      <c r="I63" s="10" t="str">
        <f t="shared" si="0"/>
        <v/>
      </c>
      <c r="J63" s="19" t="str" cm="1">
        <f t="array" ref="J63">IFERROR(_xlfn.IFS(
  AND(D63&gt;=2195, D63&lt;=2249), "①-1",
  AND(D63&gt;=2250, D63&lt;=2299), "①-2",
  AND(D63&gt;=2300, D63&lt;=2349), "①-3",
  AND(D63&gt;=2350, D63&lt;=2384), "①-4",
  AND(D63&gt;=2385, D63&lt;=2449), "①-5",
  AND(D63&gt;=2450, D63&lt;=2499), "①-6",
  AND(D63&gt;=2500, D63&lt;=2600), "①-7",
  AND(D63&gt;=2550, D63&lt;=2600), "①-8"
),"")</f>
        <v/>
      </c>
      <c r="K63" s="19" t="str">
        <f t="shared" si="3"/>
        <v/>
      </c>
      <c r="L63" s="19" t="str">
        <f t="shared" si="4"/>
        <v/>
      </c>
    </row>
    <row r="64" spans="2:12" x14ac:dyDescent="0.3">
      <c r="B64" s="9"/>
      <c r="C64" s="9"/>
      <c r="D64" s="9"/>
      <c r="E64" s="10" t="str">
        <f t="shared" si="1"/>
        <v/>
      </c>
      <c r="F64" s="10" t="str">
        <f t="shared" si="5"/>
        <v/>
      </c>
      <c r="G64" s="10" t="str">
        <f t="shared" si="5"/>
        <v/>
      </c>
      <c r="H64" s="10" t="str">
        <f t="shared" si="5"/>
        <v/>
      </c>
      <c r="I64" s="10" t="str">
        <f t="shared" si="0"/>
        <v/>
      </c>
      <c r="J64" s="19" t="str" cm="1">
        <f t="array" ref="J64">IFERROR(_xlfn.IFS(
  AND(D64&gt;=2195, D64&lt;=2249), "①-1",
  AND(D64&gt;=2250, D64&lt;=2299), "①-2",
  AND(D64&gt;=2300, D64&lt;=2349), "①-3",
  AND(D64&gt;=2350, D64&lt;=2384), "①-4",
  AND(D64&gt;=2385, D64&lt;=2449), "①-5",
  AND(D64&gt;=2450, D64&lt;=2499), "①-6",
  AND(D64&gt;=2500, D64&lt;=2600), "①-7",
  AND(D64&gt;=2550, D64&lt;=2600), "①-8"
),"")</f>
        <v/>
      </c>
      <c r="K64" s="19" t="str">
        <f t="shared" si="3"/>
        <v/>
      </c>
      <c r="L64" s="19" t="str">
        <f t="shared" si="4"/>
        <v/>
      </c>
    </row>
    <row r="65" spans="2:12" x14ac:dyDescent="0.3">
      <c r="B65" s="9"/>
      <c r="C65" s="9"/>
      <c r="D65" s="9"/>
      <c r="E65" s="10" t="str">
        <f t="shared" si="1"/>
        <v/>
      </c>
      <c r="F65" s="10" t="str">
        <f t="shared" si="5"/>
        <v/>
      </c>
      <c r="G65" s="10" t="str">
        <f t="shared" si="5"/>
        <v/>
      </c>
      <c r="H65" s="10" t="str">
        <f t="shared" si="5"/>
        <v/>
      </c>
      <c r="I65" s="10" t="str">
        <f t="shared" si="0"/>
        <v/>
      </c>
      <c r="J65" s="19" t="str" cm="1">
        <f t="array" ref="J65">IFERROR(_xlfn.IFS(
  AND(D65&gt;=2195, D65&lt;=2249), "①-1",
  AND(D65&gt;=2250, D65&lt;=2299), "①-2",
  AND(D65&gt;=2300, D65&lt;=2349), "①-3",
  AND(D65&gt;=2350, D65&lt;=2384), "①-4",
  AND(D65&gt;=2385, D65&lt;=2449), "①-5",
  AND(D65&gt;=2450, D65&lt;=2499), "①-6",
  AND(D65&gt;=2500, D65&lt;=2600), "①-7",
  AND(D65&gt;=2550, D65&lt;=2600), "①-8"
),"")</f>
        <v/>
      </c>
      <c r="K65" s="19" t="str">
        <f t="shared" si="3"/>
        <v/>
      </c>
      <c r="L65" s="19" t="str">
        <f t="shared" si="4"/>
        <v/>
      </c>
    </row>
    <row r="66" spans="2:12" x14ac:dyDescent="0.3">
      <c r="B66" s="9"/>
      <c r="C66" s="9"/>
      <c r="D66" s="9"/>
      <c r="E66" s="10" t="str">
        <f t="shared" si="1"/>
        <v/>
      </c>
      <c r="F66" s="10" t="str">
        <f t="shared" si="5"/>
        <v/>
      </c>
      <c r="G66" s="10" t="str">
        <f t="shared" si="5"/>
        <v/>
      </c>
      <c r="H66" s="10" t="str">
        <f t="shared" si="5"/>
        <v/>
      </c>
      <c r="I66" s="10" t="str">
        <f t="shared" si="0"/>
        <v/>
      </c>
      <c r="J66" s="19" t="str" cm="1">
        <f t="array" ref="J66">IFERROR(_xlfn.IFS(
  AND(D66&gt;=2195, D66&lt;=2249), "①-1",
  AND(D66&gt;=2250, D66&lt;=2299), "①-2",
  AND(D66&gt;=2300, D66&lt;=2349), "①-3",
  AND(D66&gt;=2350, D66&lt;=2384), "①-4",
  AND(D66&gt;=2385, D66&lt;=2449), "①-5",
  AND(D66&gt;=2450, D66&lt;=2499), "①-6",
  AND(D66&gt;=2500, D66&lt;=2600), "①-7",
  AND(D66&gt;=2550, D66&lt;=2600), "①-8"
),"")</f>
        <v/>
      </c>
      <c r="K66" s="19" t="str">
        <f t="shared" si="3"/>
        <v/>
      </c>
      <c r="L66" s="19" t="str">
        <f t="shared" si="4"/>
        <v/>
      </c>
    </row>
    <row r="67" spans="2:12" x14ac:dyDescent="0.3">
      <c r="B67" s="9"/>
      <c r="C67" s="9"/>
      <c r="D67" s="9"/>
      <c r="E67" s="10" t="str">
        <f t="shared" si="1"/>
        <v/>
      </c>
      <c r="F67" s="10" t="str">
        <f t="shared" si="5"/>
        <v/>
      </c>
      <c r="G67" s="10" t="str">
        <f t="shared" si="5"/>
        <v/>
      </c>
      <c r="H67" s="10" t="str">
        <f t="shared" si="5"/>
        <v/>
      </c>
      <c r="I67" s="10" t="str">
        <f t="shared" si="0"/>
        <v/>
      </c>
      <c r="J67" s="19" t="str" cm="1">
        <f t="array" ref="J67">IFERROR(_xlfn.IFS(
  AND(D67&gt;=2195, D67&lt;=2249), "①-1",
  AND(D67&gt;=2250, D67&lt;=2299), "①-2",
  AND(D67&gt;=2300, D67&lt;=2349), "①-3",
  AND(D67&gt;=2350, D67&lt;=2384), "①-4",
  AND(D67&gt;=2385, D67&lt;=2449), "①-5",
  AND(D67&gt;=2450, D67&lt;=2499), "①-6",
  AND(D67&gt;=2500, D67&lt;=2600), "①-7",
  AND(D67&gt;=2550, D67&lt;=2600), "①-8"
),"")</f>
        <v/>
      </c>
      <c r="K67" s="19" t="str">
        <f t="shared" si="3"/>
        <v/>
      </c>
      <c r="L67" s="19" t="str">
        <f t="shared" si="4"/>
        <v/>
      </c>
    </row>
    <row r="68" spans="2:12" x14ac:dyDescent="0.3">
      <c r="B68" s="9"/>
      <c r="C68" s="9"/>
      <c r="D68" s="9"/>
      <c r="E68" s="10" t="str">
        <f t="shared" si="1"/>
        <v/>
      </c>
      <c r="F68" s="10" t="str">
        <f t="shared" si="5"/>
        <v/>
      </c>
      <c r="G68" s="10" t="str">
        <f t="shared" si="5"/>
        <v/>
      </c>
      <c r="H68" s="10" t="str">
        <f t="shared" si="5"/>
        <v/>
      </c>
      <c r="I68" s="10" t="str">
        <f t="shared" si="0"/>
        <v/>
      </c>
      <c r="J68" s="19" t="str" cm="1">
        <f t="array" ref="J68">IFERROR(_xlfn.IFS(
  AND(D68&gt;=2195, D68&lt;=2249), "①-1",
  AND(D68&gt;=2250, D68&lt;=2299), "①-2",
  AND(D68&gt;=2300, D68&lt;=2349), "①-3",
  AND(D68&gt;=2350, D68&lt;=2384), "①-4",
  AND(D68&gt;=2385, D68&lt;=2449), "①-5",
  AND(D68&gt;=2450, D68&lt;=2499), "①-6",
  AND(D68&gt;=2500, D68&lt;=2600), "①-7",
  AND(D68&gt;=2550, D68&lt;=2600), "①-8"
),"")</f>
        <v/>
      </c>
      <c r="K68" s="19" t="str">
        <f t="shared" si="3"/>
        <v/>
      </c>
      <c r="L68" s="19" t="str">
        <f t="shared" si="4"/>
        <v/>
      </c>
    </row>
    <row r="69" spans="2:12" x14ac:dyDescent="0.3">
      <c r="B69" s="9"/>
      <c r="C69" s="9"/>
      <c r="D69" s="9"/>
      <c r="E69" s="10" t="str">
        <f t="shared" si="1"/>
        <v/>
      </c>
      <c r="F69" s="10" t="str">
        <f t="shared" si="5"/>
        <v/>
      </c>
      <c r="G69" s="10" t="str">
        <f t="shared" si="5"/>
        <v/>
      </c>
      <c r="H69" s="10" t="str">
        <f t="shared" si="5"/>
        <v/>
      </c>
      <c r="I69" s="10" t="str">
        <f t="shared" si="5"/>
        <v/>
      </c>
      <c r="J69" s="19" t="str" cm="1">
        <f t="array" ref="J69">IFERROR(_xlfn.IFS(
  AND(D69&gt;=2195, D69&lt;=2249), "①-1",
  AND(D69&gt;=2250, D69&lt;=2299), "①-2",
  AND(D69&gt;=2300, D69&lt;=2349), "①-3",
  AND(D69&gt;=2350, D69&lt;=2384), "①-4",
  AND(D69&gt;=2385, D69&lt;=2449), "①-5",
  AND(D69&gt;=2450, D69&lt;=2499), "①-6",
  AND(D69&gt;=2500, D69&lt;=2600), "①-7",
  AND(D69&gt;=2550, D69&lt;=2600), "①-8"
),"")</f>
        <v/>
      </c>
      <c r="K69" s="19" t="str">
        <f t="shared" si="3"/>
        <v/>
      </c>
      <c r="L69" s="19" t="str">
        <f t="shared" si="4"/>
        <v/>
      </c>
    </row>
    <row r="70" spans="2:12" x14ac:dyDescent="0.3">
      <c r="B70" s="9"/>
      <c r="C70" s="9"/>
      <c r="D70" s="9"/>
      <c r="E70" s="10" t="str">
        <f t="shared" ref="E70:E100" si="6">IF(AND(OR(C70="H",C70="J",C70="K",C70="L"),D70&gt;=2195,D70&lt;2350),"0079",
IF(AND(OR(C70="H",C70="J",C70="K",C70="L"),D70&gt;=2350,D70&lt;2450),"007A",
IF(AND(OR(C70="H",C70="J",C70="K",C70="L"),D70&gt;=2450,D70&lt;=2600),"007B",
IF(AND(OR(C70="M",C70="N",C70="Q"),D70&gt;=2195,D70&lt;2350),"007C",
IF(AND(OR(C70="M",C70="N",C70="Q"),D70&gt;=2350,D70&lt;2450),"007D",
IF(AND(OR(C70="M",C70="N",C70="Q"),D70&gt;=2450,D70&lt;=2600),"007E",
""))))))</f>
        <v/>
      </c>
      <c r="F70" s="10" t="str">
        <f t="shared" ref="F70:I100" si="7">$E70</f>
        <v/>
      </c>
      <c r="G70" s="10" t="str">
        <f t="shared" si="7"/>
        <v/>
      </c>
      <c r="H70" s="10" t="str">
        <f t="shared" si="7"/>
        <v/>
      </c>
      <c r="I70" s="10" t="str">
        <f t="shared" si="7"/>
        <v/>
      </c>
      <c r="J70" s="19" t="str" cm="1">
        <f t="array" ref="J70">IFERROR(_xlfn.IFS(
  AND(D70&gt;=2195, D70&lt;=2249), "①-1",
  AND(D70&gt;=2250, D70&lt;=2299), "①-2",
  AND(D70&gt;=2300, D70&lt;=2349), "①-3",
  AND(D70&gt;=2350, D70&lt;=2384), "①-4",
  AND(D70&gt;=2385, D70&lt;=2449), "①-5",
  AND(D70&gt;=2450, D70&lt;=2499), "①-6",
  AND(D70&gt;=2500, D70&lt;=2600), "①-7",
  AND(D70&gt;=2550, D70&lt;=2600), "①-8"
),"")</f>
        <v/>
      </c>
      <c r="K70" s="19" t="str">
        <f t="shared" ref="K70:K100" si="8">IFERROR(VLOOKUP(J70,$O$5:$Q$12,2,0),"")</f>
        <v/>
      </c>
      <c r="L70" s="19" t="str">
        <f t="shared" ref="L70:L100" si="9">IFERROR(VLOOKUP(J70,$O$5:$Q$12,3,0),"")</f>
        <v/>
      </c>
    </row>
    <row r="71" spans="2:12" x14ac:dyDescent="0.3">
      <c r="B71" s="9"/>
      <c r="C71" s="9"/>
      <c r="D71" s="9"/>
      <c r="E71" s="10" t="str">
        <f t="shared" si="6"/>
        <v/>
      </c>
      <c r="F71" s="10" t="str">
        <f t="shared" si="7"/>
        <v/>
      </c>
      <c r="G71" s="10" t="str">
        <f t="shared" si="7"/>
        <v/>
      </c>
      <c r="H71" s="10" t="str">
        <f t="shared" si="7"/>
        <v/>
      </c>
      <c r="I71" s="10" t="str">
        <f t="shared" si="7"/>
        <v/>
      </c>
      <c r="J71" s="19" t="str" cm="1">
        <f t="array" ref="J71">IFERROR(_xlfn.IFS(
  AND(D71&gt;=2195, D71&lt;=2249), "①-1",
  AND(D71&gt;=2250, D71&lt;=2299), "①-2",
  AND(D71&gt;=2300, D71&lt;=2349), "①-3",
  AND(D71&gt;=2350, D71&lt;=2384), "①-4",
  AND(D71&gt;=2385, D71&lt;=2449), "①-5",
  AND(D71&gt;=2450, D71&lt;=2499), "①-6",
  AND(D71&gt;=2500, D71&lt;=2600), "①-7",
  AND(D71&gt;=2550, D71&lt;=2600), "①-8"
),"")</f>
        <v/>
      </c>
      <c r="K71" s="19" t="str">
        <f t="shared" si="8"/>
        <v/>
      </c>
      <c r="L71" s="19" t="str">
        <f t="shared" si="9"/>
        <v/>
      </c>
    </row>
    <row r="72" spans="2:12" x14ac:dyDescent="0.3">
      <c r="B72" s="9"/>
      <c r="C72" s="9"/>
      <c r="D72" s="9"/>
      <c r="E72" s="10" t="str">
        <f t="shared" si="6"/>
        <v/>
      </c>
      <c r="F72" s="10" t="str">
        <f t="shared" si="7"/>
        <v/>
      </c>
      <c r="G72" s="10" t="str">
        <f t="shared" si="7"/>
        <v/>
      </c>
      <c r="H72" s="10" t="str">
        <f t="shared" si="7"/>
        <v/>
      </c>
      <c r="I72" s="10" t="str">
        <f t="shared" si="7"/>
        <v/>
      </c>
      <c r="J72" s="19" t="str" cm="1">
        <f t="array" ref="J72">IFERROR(_xlfn.IFS(
  AND(D72&gt;=2195, D72&lt;=2249), "①-1",
  AND(D72&gt;=2250, D72&lt;=2299), "①-2",
  AND(D72&gt;=2300, D72&lt;=2349), "①-3",
  AND(D72&gt;=2350, D72&lt;=2384), "①-4",
  AND(D72&gt;=2385, D72&lt;=2449), "①-5",
  AND(D72&gt;=2450, D72&lt;=2499), "①-6",
  AND(D72&gt;=2500, D72&lt;=2600), "①-7",
  AND(D72&gt;=2550, D72&lt;=2600), "①-8"
),"")</f>
        <v/>
      </c>
      <c r="K72" s="19" t="str">
        <f t="shared" si="8"/>
        <v/>
      </c>
      <c r="L72" s="19" t="str">
        <f t="shared" si="9"/>
        <v/>
      </c>
    </row>
    <row r="73" spans="2:12" x14ac:dyDescent="0.3">
      <c r="B73" s="9"/>
      <c r="C73" s="9"/>
      <c r="D73" s="9"/>
      <c r="E73" s="10" t="str">
        <f t="shared" si="6"/>
        <v/>
      </c>
      <c r="F73" s="10" t="str">
        <f t="shared" si="7"/>
        <v/>
      </c>
      <c r="G73" s="10" t="str">
        <f t="shared" si="7"/>
        <v/>
      </c>
      <c r="H73" s="10" t="str">
        <f t="shared" si="7"/>
        <v/>
      </c>
      <c r="I73" s="10" t="str">
        <f t="shared" si="7"/>
        <v/>
      </c>
      <c r="J73" s="19" t="str" cm="1">
        <f t="array" ref="J73">IFERROR(_xlfn.IFS(
  AND(D73&gt;=2195, D73&lt;=2249), "①-1",
  AND(D73&gt;=2250, D73&lt;=2299), "①-2",
  AND(D73&gt;=2300, D73&lt;=2349), "①-3",
  AND(D73&gt;=2350, D73&lt;=2384), "①-4",
  AND(D73&gt;=2385, D73&lt;=2449), "①-5",
  AND(D73&gt;=2450, D73&lt;=2499), "①-6",
  AND(D73&gt;=2500, D73&lt;=2600), "①-7",
  AND(D73&gt;=2550, D73&lt;=2600), "①-8"
),"")</f>
        <v/>
      </c>
      <c r="K73" s="19" t="str">
        <f t="shared" si="8"/>
        <v/>
      </c>
      <c r="L73" s="19" t="str">
        <f t="shared" si="9"/>
        <v/>
      </c>
    </row>
    <row r="74" spans="2:12" x14ac:dyDescent="0.3">
      <c r="B74" s="9"/>
      <c r="C74" s="9"/>
      <c r="D74" s="9"/>
      <c r="E74" s="10" t="str">
        <f t="shared" si="6"/>
        <v/>
      </c>
      <c r="F74" s="10" t="str">
        <f t="shared" si="7"/>
        <v/>
      </c>
      <c r="G74" s="10" t="str">
        <f t="shared" si="7"/>
        <v/>
      </c>
      <c r="H74" s="10" t="str">
        <f t="shared" si="7"/>
        <v/>
      </c>
      <c r="I74" s="10" t="str">
        <f t="shared" si="7"/>
        <v/>
      </c>
      <c r="J74" s="19" t="str" cm="1">
        <f t="array" ref="J74">IFERROR(_xlfn.IFS(
  AND(D74&gt;=2195, D74&lt;=2249), "①-1",
  AND(D74&gt;=2250, D74&lt;=2299), "①-2",
  AND(D74&gt;=2300, D74&lt;=2349), "①-3",
  AND(D74&gt;=2350, D74&lt;=2384), "①-4",
  AND(D74&gt;=2385, D74&lt;=2449), "①-5",
  AND(D74&gt;=2450, D74&lt;=2499), "①-6",
  AND(D74&gt;=2500, D74&lt;=2600), "①-7",
  AND(D74&gt;=2550, D74&lt;=2600), "①-8"
),"")</f>
        <v/>
      </c>
      <c r="K74" s="19" t="str">
        <f t="shared" si="8"/>
        <v/>
      </c>
      <c r="L74" s="19" t="str">
        <f t="shared" si="9"/>
        <v/>
      </c>
    </row>
    <row r="75" spans="2:12" x14ac:dyDescent="0.3">
      <c r="B75" s="9"/>
      <c r="C75" s="9"/>
      <c r="D75" s="9"/>
      <c r="E75" s="10" t="str">
        <f t="shared" si="6"/>
        <v/>
      </c>
      <c r="F75" s="10" t="str">
        <f t="shared" si="7"/>
        <v/>
      </c>
      <c r="G75" s="10" t="str">
        <f t="shared" si="7"/>
        <v/>
      </c>
      <c r="H75" s="10" t="str">
        <f t="shared" si="7"/>
        <v/>
      </c>
      <c r="I75" s="10" t="str">
        <f t="shared" si="7"/>
        <v/>
      </c>
      <c r="J75" s="19" t="str" cm="1">
        <f t="array" ref="J75">IFERROR(_xlfn.IFS(
  AND(D75&gt;=2195, D75&lt;=2249), "①-1",
  AND(D75&gt;=2250, D75&lt;=2299), "①-2",
  AND(D75&gt;=2300, D75&lt;=2349), "①-3",
  AND(D75&gt;=2350, D75&lt;=2384), "①-4",
  AND(D75&gt;=2385, D75&lt;=2449), "①-5",
  AND(D75&gt;=2450, D75&lt;=2499), "①-6",
  AND(D75&gt;=2500, D75&lt;=2600), "①-7",
  AND(D75&gt;=2550, D75&lt;=2600), "①-8"
),"")</f>
        <v/>
      </c>
      <c r="K75" s="19" t="str">
        <f t="shared" si="8"/>
        <v/>
      </c>
      <c r="L75" s="19" t="str">
        <f t="shared" si="9"/>
        <v/>
      </c>
    </row>
    <row r="76" spans="2:12" x14ac:dyDescent="0.3">
      <c r="B76" s="9"/>
      <c r="C76" s="9"/>
      <c r="D76" s="9"/>
      <c r="E76" s="10" t="str">
        <f t="shared" si="6"/>
        <v/>
      </c>
      <c r="F76" s="10" t="str">
        <f t="shared" si="7"/>
        <v/>
      </c>
      <c r="G76" s="10" t="str">
        <f t="shared" si="7"/>
        <v/>
      </c>
      <c r="H76" s="10" t="str">
        <f t="shared" si="7"/>
        <v/>
      </c>
      <c r="I76" s="10" t="str">
        <f t="shared" si="7"/>
        <v/>
      </c>
      <c r="J76" s="19" t="str" cm="1">
        <f t="array" ref="J76">IFERROR(_xlfn.IFS(
  AND(D76&gt;=2195, D76&lt;=2249), "①-1",
  AND(D76&gt;=2250, D76&lt;=2299), "①-2",
  AND(D76&gt;=2300, D76&lt;=2349), "①-3",
  AND(D76&gt;=2350, D76&lt;=2384), "①-4",
  AND(D76&gt;=2385, D76&lt;=2449), "①-5",
  AND(D76&gt;=2450, D76&lt;=2499), "①-6",
  AND(D76&gt;=2500, D76&lt;=2600), "①-7",
  AND(D76&gt;=2550, D76&lt;=2600), "①-8"
),"")</f>
        <v/>
      </c>
      <c r="K76" s="19" t="str">
        <f t="shared" si="8"/>
        <v/>
      </c>
      <c r="L76" s="19" t="str">
        <f t="shared" si="9"/>
        <v/>
      </c>
    </row>
    <row r="77" spans="2:12" x14ac:dyDescent="0.3">
      <c r="B77" s="9"/>
      <c r="C77" s="9"/>
      <c r="D77" s="9"/>
      <c r="E77" s="10" t="str">
        <f t="shared" si="6"/>
        <v/>
      </c>
      <c r="F77" s="10" t="str">
        <f t="shared" si="7"/>
        <v/>
      </c>
      <c r="G77" s="10" t="str">
        <f t="shared" si="7"/>
        <v/>
      </c>
      <c r="H77" s="10" t="str">
        <f t="shared" si="7"/>
        <v/>
      </c>
      <c r="I77" s="10" t="str">
        <f t="shared" si="7"/>
        <v/>
      </c>
      <c r="J77" s="19" t="str" cm="1">
        <f t="array" ref="J77">IFERROR(_xlfn.IFS(
  AND(D77&gt;=2195, D77&lt;=2249), "①-1",
  AND(D77&gt;=2250, D77&lt;=2299), "①-2",
  AND(D77&gt;=2300, D77&lt;=2349), "①-3",
  AND(D77&gt;=2350, D77&lt;=2384), "①-4",
  AND(D77&gt;=2385, D77&lt;=2449), "①-5",
  AND(D77&gt;=2450, D77&lt;=2499), "①-6",
  AND(D77&gt;=2500, D77&lt;=2600), "①-7",
  AND(D77&gt;=2550, D77&lt;=2600), "①-8"
),"")</f>
        <v/>
      </c>
      <c r="K77" s="19" t="str">
        <f t="shared" si="8"/>
        <v/>
      </c>
      <c r="L77" s="19" t="str">
        <f t="shared" si="9"/>
        <v/>
      </c>
    </row>
    <row r="78" spans="2:12" x14ac:dyDescent="0.3">
      <c r="B78" s="9"/>
      <c r="C78" s="9"/>
      <c r="D78" s="9"/>
      <c r="E78" s="10" t="str">
        <f t="shared" si="6"/>
        <v/>
      </c>
      <c r="F78" s="10" t="str">
        <f t="shared" si="7"/>
        <v/>
      </c>
      <c r="G78" s="10" t="str">
        <f t="shared" si="7"/>
        <v/>
      </c>
      <c r="H78" s="10" t="str">
        <f t="shared" si="7"/>
        <v/>
      </c>
      <c r="I78" s="10" t="str">
        <f t="shared" si="7"/>
        <v/>
      </c>
      <c r="J78" s="19" t="str" cm="1">
        <f t="array" ref="J78">IFERROR(_xlfn.IFS(
  AND(D78&gt;=2195, D78&lt;=2249), "①-1",
  AND(D78&gt;=2250, D78&lt;=2299), "①-2",
  AND(D78&gt;=2300, D78&lt;=2349), "①-3",
  AND(D78&gt;=2350, D78&lt;=2384), "①-4",
  AND(D78&gt;=2385, D78&lt;=2449), "①-5",
  AND(D78&gt;=2450, D78&lt;=2499), "①-6",
  AND(D78&gt;=2500, D78&lt;=2600), "①-7",
  AND(D78&gt;=2550, D78&lt;=2600), "①-8"
),"")</f>
        <v/>
      </c>
      <c r="K78" s="19" t="str">
        <f t="shared" si="8"/>
        <v/>
      </c>
      <c r="L78" s="19" t="str">
        <f t="shared" si="9"/>
        <v/>
      </c>
    </row>
    <row r="79" spans="2:12" x14ac:dyDescent="0.3">
      <c r="B79" s="9"/>
      <c r="C79" s="9"/>
      <c r="D79" s="9"/>
      <c r="E79" s="10" t="str">
        <f t="shared" si="6"/>
        <v/>
      </c>
      <c r="F79" s="10" t="str">
        <f t="shared" si="7"/>
        <v/>
      </c>
      <c r="G79" s="10" t="str">
        <f t="shared" si="7"/>
        <v/>
      </c>
      <c r="H79" s="10" t="str">
        <f t="shared" si="7"/>
        <v/>
      </c>
      <c r="I79" s="10" t="str">
        <f t="shared" si="7"/>
        <v/>
      </c>
      <c r="J79" s="19" t="str" cm="1">
        <f t="array" ref="J79">IFERROR(_xlfn.IFS(
  AND(D79&gt;=2195, D79&lt;=2249), "①-1",
  AND(D79&gt;=2250, D79&lt;=2299), "①-2",
  AND(D79&gt;=2300, D79&lt;=2349), "①-3",
  AND(D79&gt;=2350, D79&lt;=2384), "①-4",
  AND(D79&gt;=2385, D79&lt;=2449), "①-5",
  AND(D79&gt;=2450, D79&lt;=2499), "①-6",
  AND(D79&gt;=2500, D79&lt;=2600), "①-7",
  AND(D79&gt;=2550, D79&lt;=2600), "①-8"
),"")</f>
        <v/>
      </c>
      <c r="K79" s="19" t="str">
        <f t="shared" si="8"/>
        <v/>
      </c>
      <c r="L79" s="19" t="str">
        <f t="shared" si="9"/>
        <v/>
      </c>
    </row>
    <row r="80" spans="2:12" x14ac:dyDescent="0.3">
      <c r="B80" s="9"/>
      <c r="C80" s="9"/>
      <c r="D80" s="9"/>
      <c r="E80" s="10" t="str">
        <f t="shared" si="6"/>
        <v/>
      </c>
      <c r="F80" s="10" t="str">
        <f t="shared" si="7"/>
        <v/>
      </c>
      <c r="G80" s="10" t="str">
        <f t="shared" si="7"/>
        <v/>
      </c>
      <c r="H80" s="10" t="str">
        <f t="shared" si="7"/>
        <v/>
      </c>
      <c r="I80" s="10" t="str">
        <f t="shared" si="7"/>
        <v/>
      </c>
      <c r="J80" s="19" t="str" cm="1">
        <f t="array" ref="J80">IFERROR(_xlfn.IFS(
  AND(D80&gt;=2195, D80&lt;=2249), "①-1",
  AND(D80&gt;=2250, D80&lt;=2299), "①-2",
  AND(D80&gt;=2300, D80&lt;=2349), "①-3",
  AND(D80&gt;=2350, D80&lt;=2384), "①-4",
  AND(D80&gt;=2385, D80&lt;=2449), "①-5",
  AND(D80&gt;=2450, D80&lt;=2499), "①-6",
  AND(D80&gt;=2500, D80&lt;=2600), "①-7",
  AND(D80&gt;=2550, D80&lt;=2600), "①-8"
),"")</f>
        <v/>
      </c>
      <c r="K80" s="19" t="str">
        <f t="shared" si="8"/>
        <v/>
      </c>
      <c r="L80" s="19" t="str">
        <f t="shared" si="9"/>
        <v/>
      </c>
    </row>
    <row r="81" spans="2:12" x14ac:dyDescent="0.3">
      <c r="B81" s="9"/>
      <c r="C81" s="9"/>
      <c r="D81" s="9"/>
      <c r="E81" s="10" t="str">
        <f t="shared" si="6"/>
        <v/>
      </c>
      <c r="F81" s="10" t="str">
        <f t="shared" si="7"/>
        <v/>
      </c>
      <c r="G81" s="10" t="str">
        <f t="shared" si="7"/>
        <v/>
      </c>
      <c r="H81" s="10" t="str">
        <f t="shared" si="7"/>
        <v/>
      </c>
      <c r="I81" s="10" t="str">
        <f t="shared" si="7"/>
        <v/>
      </c>
      <c r="J81" s="19" t="str" cm="1">
        <f t="array" ref="J81">IFERROR(_xlfn.IFS(
  AND(D81&gt;=2195, D81&lt;=2249), "①-1",
  AND(D81&gt;=2250, D81&lt;=2299), "①-2",
  AND(D81&gt;=2300, D81&lt;=2349), "①-3",
  AND(D81&gt;=2350, D81&lt;=2384), "①-4",
  AND(D81&gt;=2385, D81&lt;=2449), "①-5",
  AND(D81&gt;=2450, D81&lt;=2499), "①-6",
  AND(D81&gt;=2500, D81&lt;=2600), "①-7",
  AND(D81&gt;=2550, D81&lt;=2600), "①-8"
),"")</f>
        <v/>
      </c>
      <c r="K81" s="19" t="str">
        <f t="shared" si="8"/>
        <v/>
      </c>
      <c r="L81" s="19" t="str">
        <f t="shared" si="9"/>
        <v/>
      </c>
    </row>
    <row r="82" spans="2:12" x14ac:dyDescent="0.3">
      <c r="B82" s="9"/>
      <c r="C82" s="9"/>
      <c r="D82" s="9"/>
      <c r="E82" s="10" t="str">
        <f t="shared" si="6"/>
        <v/>
      </c>
      <c r="F82" s="10" t="str">
        <f t="shared" si="7"/>
        <v/>
      </c>
      <c r="G82" s="10" t="str">
        <f t="shared" si="7"/>
        <v/>
      </c>
      <c r="H82" s="10" t="str">
        <f t="shared" si="7"/>
        <v/>
      </c>
      <c r="I82" s="10" t="str">
        <f t="shared" si="7"/>
        <v/>
      </c>
      <c r="J82" s="19" t="str" cm="1">
        <f t="array" ref="J82">IFERROR(_xlfn.IFS(
  AND(D82&gt;=2195, D82&lt;=2249), "①-1",
  AND(D82&gt;=2250, D82&lt;=2299), "①-2",
  AND(D82&gt;=2300, D82&lt;=2349), "①-3",
  AND(D82&gt;=2350, D82&lt;=2384), "①-4",
  AND(D82&gt;=2385, D82&lt;=2449), "①-5",
  AND(D82&gt;=2450, D82&lt;=2499), "①-6",
  AND(D82&gt;=2500, D82&lt;=2600), "①-7",
  AND(D82&gt;=2550, D82&lt;=2600), "①-8"
),"")</f>
        <v/>
      </c>
      <c r="K82" s="19" t="str">
        <f t="shared" si="8"/>
        <v/>
      </c>
      <c r="L82" s="19" t="str">
        <f t="shared" si="9"/>
        <v/>
      </c>
    </row>
    <row r="83" spans="2:12" x14ac:dyDescent="0.3">
      <c r="B83" s="9"/>
      <c r="C83" s="9"/>
      <c r="D83" s="9"/>
      <c r="E83" s="10" t="str">
        <f t="shared" si="6"/>
        <v/>
      </c>
      <c r="F83" s="10" t="str">
        <f t="shared" si="7"/>
        <v/>
      </c>
      <c r="G83" s="10" t="str">
        <f t="shared" si="7"/>
        <v/>
      </c>
      <c r="H83" s="10" t="str">
        <f t="shared" si="7"/>
        <v/>
      </c>
      <c r="I83" s="10" t="str">
        <f t="shared" si="7"/>
        <v/>
      </c>
      <c r="J83" s="19" t="str" cm="1">
        <f t="array" ref="J83">IFERROR(_xlfn.IFS(
  AND(D83&gt;=2195, D83&lt;=2249), "①-1",
  AND(D83&gt;=2250, D83&lt;=2299), "①-2",
  AND(D83&gt;=2300, D83&lt;=2349), "①-3",
  AND(D83&gt;=2350, D83&lt;=2384), "①-4",
  AND(D83&gt;=2385, D83&lt;=2449), "①-5",
  AND(D83&gt;=2450, D83&lt;=2499), "①-6",
  AND(D83&gt;=2500, D83&lt;=2600), "①-7",
  AND(D83&gt;=2550, D83&lt;=2600), "①-8"
),"")</f>
        <v/>
      </c>
      <c r="K83" s="19" t="str">
        <f t="shared" si="8"/>
        <v/>
      </c>
      <c r="L83" s="19" t="str">
        <f t="shared" si="9"/>
        <v/>
      </c>
    </row>
    <row r="84" spans="2:12" x14ac:dyDescent="0.3">
      <c r="B84" s="9"/>
      <c r="C84" s="9"/>
      <c r="D84" s="9"/>
      <c r="E84" s="10" t="str">
        <f t="shared" si="6"/>
        <v/>
      </c>
      <c r="F84" s="10" t="str">
        <f t="shared" si="7"/>
        <v/>
      </c>
      <c r="G84" s="10" t="str">
        <f t="shared" si="7"/>
        <v/>
      </c>
      <c r="H84" s="10" t="str">
        <f t="shared" si="7"/>
        <v/>
      </c>
      <c r="I84" s="10" t="str">
        <f t="shared" si="7"/>
        <v/>
      </c>
      <c r="J84" s="19" t="str" cm="1">
        <f t="array" ref="J84">IFERROR(_xlfn.IFS(
  AND(D84&gt;=2195, D84&lt;=2249), "①-1",
  AND(D84&gt;=2250, D84&lt;=2299), "①-2",
  AND(D84&gt;=2300, D84&lt;=2349), "①-3",
  AND(D84&gt;=2350, D84&lt;=2384), "①-4",
  AND(D84&gt;=2385, D84&lt;=2449), "①-5",
  AND(D84&gt;=2450, D84&lt;=2499), "①-6",
  AND(D84&gt;=2500, D84&lt;=2600), "①-7",
  AND(D84&gt;=2550, D84&lt;=2600), "①-8"
),"")</f>
        <v/>
      </c>
      <c r="K84" s="19" t="str">
        <f t="shared" si="8"/>
        <v/>
      </c>
      <c r="L84" s="19" t="str">
        <f t="shared" si="9"/>
        <v/>
      </c>
    </row>
    <row r="85" spans="2:12" x14ac:dyDescent="0.3">
      <c r="B85" s="9"/>
      <c r="C85" s="9"/>
      <c r="D85" s="9"/>
      <c r="E85" s="10" t="str">
        <f t="shared" si="6"/>
        <v/>
      </c>
      <c r="F85" s="10" t="str">
        <f t="shared" si="7"/>
        <v/>
      </c>
      <c r="G85" s="10" t="str">
        <f t="shared" si="7"/>
        <v/>
      </c>
      <c r="H85" s="10" t="str">
        <f t="shared" si="7"/>
        <v/>
      </c>
      <c r="I85" s="10" t="str">
        <f t="shared" si="7"/>
        <v/>
      </c>
      <c r="J85" s="19" t="str" cm="1">
        <f t="array" ref="J85">IFERROR(_xlfn.IFS(
  AND(D85&gt;=2195, D85&lt;=2249), "①-1",
  AND(D85&gt;=2250, D85&lt;=2299), "①-2",
  AND(D85&gt;=2300, D85&lt;=2349), "①-3",
  AND(D85&gt;=2350, D85&lt;=2384), "①-4",
  AND(D85&gt;=2385, D85&lt;=2449), "①-5",
  AND(D85&gt;=2450, D85&lt;=2499), "①-6",
  AND(D85&gt;=2500, D85&lt;=2600), "①-7",
  AND(D85&gt;=2550, D85&lt;=2600), "①-8"
),"")</f>
        <v/>
      </c>
      <c r="K85" s="19" t="str">
        <f t="shared" si="8"/>
        <v/>
      </c>
      <c r="L85" s="19" t="str">
        <f t="shared" si="9"/>
        <v/>
      </c>
    </row>
    <row r="86" spans="2:12" x14ac:dyDescent="0.3">
      <c r="B86" s="9"/>
      <c r="C86" s="9"/>
      <c r="D86" s="9"/>
      <c r="E86" s="10" t="str">
        <f t="shared" si="6"/>
        <v/>
      </c>
      <c r="F86" s="10" t="str">
        <f t="shared" si="7"/>
        <v/>
      </c>
      <c r="G86" s="10" t="str">
        <f t="shared" si="7"/>
        <v/>
      </c>
      <c r="H86" s="10" t="str">
        <f t="shared" si="7"/>
        <v/>
      </c>
      <c r="I86" s="10" t="str">
        <f t="shared" si="7"/>
        <v/>
      </c>
      <c r="J86" s="19" t="str" cm="1">
        <f t="array" ref="J86">IFERROR(_xlfn.IFS(
  AND(D86&gt;=2195, D86&lt;=2249), "①-1",
  AND(D86&gt;=2250, D86&lt;=2299), "①-2",
  AND(D86&gt;=2300, D86&lt;=2349), "①-3",
  AND(D86&gt;=2350, D86&lt;=2384), "①-4",
  AND(D86&gt;=2385, D86&lt;=2449), "①-5",
  AND(D86&gt;=2450, D86&lt;=2499), "①-6",
  AND(D86&gt;=2500, D86&lt;=2600), "①-7",
  AND(D86&gt;=2550, D86&lt;=2600), "①-8"
),"")</f>
        <v/>
      </c>
      <c r="K86" s="19" t="str">
        <f t="shared" si="8"/>
        <v/>
      </c>
      <c r="L86" s="19" t="str">
        <f t="shared" si="9"/>
        <v/>
      </c>
    </row>
    <row r="87" spans="2:12" x14ac:dyDescent="0.3">
      <c r="B87" s="9"/>
      <c r="C87" s="9"/>
      <c r="D87" s="9"/>
      <c r="E87" s="10" t="str">
        <f t="shared" si="6"/>
        <v/>
      </c>
      <c r="F87" s="10" t="str">
        <f t="shared" si="7"/>
        <v/>
      </c>
      <c r="G87" s="10" t="str">
        <f t="shared" si="7"/>
        <v/>
      </c>
      <c r="H87" s="10" t="str">
        <f t="shared" si="7"/>
        <v/>
      </c>
      <c r="I87" s="10" t="str">
        <f t="shared" si="7"/>
        <v/>
      </c>
      <c r="J87" s="19" t="str" cm="1">
        <f t="array" ref="J87">IFERROR(_xlfn.IFS(
  AND(D87&gt;=2195, D87&lt;=2249), "①-1",
  AND(D87&gt;=2250, D87&lt;=2299), "①-2",
  AND(D87&gt;=2300, D87&lt;=2349), "①-3",
  AND(D87&gt;=2350, D87&lt;=2384), "①-4",
  AND(D87&gt;=2385, D87&lt;=2449), "①-5",
  AND(D87&gt;=2450, D87&lt;=2499), "①-6",
  AND(D87&gt;=2500, D87&lt;=2600), "①-7",
  AND(D87&gt;=2550, D87&lt;=2600), "①-8"
),"")</f>
        <v/>
      </c>
      <c r="K87" s="19" t="str">
        <f t="shared" si="8"/>
        <v/>
      </c>
      <c r="L87" s="19" t="str">
        <f t="shared" si="9"/>
        <v/>
      </c>
    </row>
    <row r="88" spans="2:12" x14ac:dyDescent="0.3">
      <c r="B88" s="9"/>
      <c r="C88" s="9"/>
      <c r="D88" s="9"/>
      <c r="E88" s="10" t="str">
        <f t="shared" si="6"/>
        <v/>
      </c>
      <c r="F88" s="10" t="str">
        <f t="shared" si="7"/>
        <v/>
      </c>
      <c r="G88" s="10" t="str">
        <f t="shared" si="7"/>
        <v/>
      </c>
      <c r="H88" s="10" t="str">
        <f t="shared" si="7"/>
        <v/>
      </c>
      <c r="I88" s="10" t="str">
        <f t="shared" si="7"/>
        <v/>
      </c>
      <c r="J88" s="19" t="str" cm="1">
        <f t="array" ref="J88">IFERROR(_xlfn.IFS(
  AND(D88&gt;=2195, D88&lt;=2249), "①-1",
  AND(D88&gt;=2250, D88&lt;=2299), "①-2",
  AND(D88&gt;=2300, D88&lt;=2349), "①-3",
  AND(D88&gt;=2350, D88&lt;=2384), "①-4",
  AND(D88&gt;=2385, D88&lt;=2449), "①-5",
  AND(D88&gt;=2450, D88&lt;=2499), "①-6",
  AND(D88&gt;=2500, D88&lt;=2600), "①-7",
  AND(D88&gt;=2550, D88&lt;=2600), "①-8"
),"")</f>
        <v/>
      </c>
      <c r="K88" s="19" t="str">
        <f t="shared" si="8"/>
        <v/>
      </c>
      <c r="L88" s="19" t="str">
        <f t="shared" si="9"/>
        <v/>
      </c>
    </row>
    <row r="89" spans="2:12" x14ac:dyDescent="0.3">
      <c r="B89" s="9"/>
      <c r="C89" s="9"/>
      <c r="D89" s="9"/>
      <c r="E89" s="10" t="str">
        <f t="shared" si="6"/>
        <v/>
      </c>
      <c r="F89" s="10" t="str">
        <f t="shared" si="7"/>
        <v/>
      </c>
      <c r="G89" s="10" t="str">
        <f t="shared" si="7"/>
        <v/>
      </c>
      <c r="H89" s="10" t="str">
        <f t="shared" si="7"/>
        <v/>
      </c>
      <c r="I89" s="10" t="str">
        <f t="shared" si="7"/>
        <v/>
      </c>
      <c r="J89" s="19" t="str" cm="1">
        <f t="array" ref="J89">IFERROR(_xlfn.IFS(
  AND(D89&gt;=2195, D89&lt;=2249), "①-1",
  AND(D89&gt;=2250, D89&lt;=2299), "①-2",
  AND(D89&gt;=2300, D89&lt;=2349), "①-3",
  AND(D89&gt;=2350, D89&lt;=2384), "①-4",
  AND(D89&gt;=2385, D89&lt;=2449), "①-5",
  AND(D89&gt;=2450, D89&lt;=2499), "①-6",
  AND(D89&gt;=2500, D89&lt;=2600), "①-7",
  AND(D89&gt;=2550, D89&lt;=2600), "①-8"
),"")</f>
        <v/>
      </c>
      <c r="K89" s="19" t="str">
        <f t="shared" si="8"/>
        <v/>
      </c>
      <c r="L89" s="19" t="str">
        <f t="shared" si="9"/>
        <v/>
      </c>
    </row>
    <row r="90" spans="2:12" x14ac:dyDescent="0.3">
      <c r="B90" s="9"/>
      <c r="C90" s="9"/>
      <c r="D90" s="9"/>
      <c r="E90" s="10" t="str">
        <f t="shared" si="6"/>
        <v/>
      </c>
      <c r="F90" s="10" t="str">
        <f t="shared" si="7"/>
        <v/>
      </c>
      <c r="G90" s="10" t="str">
        <f t="shared" si="7"/>
        <v/>
      </c>
      <c r="H90" s="10" t="str">
        <f t="shared" si="7"/>
        <v/>
      </c>
      <c r="I90" s="10" t="str">
        <f t="shared" si="7"/>
        <v/>
      </c>
      <c r="J90" s="19" t="str" cm="1">
        <f t="array" ref="J90">IFERROR(_xlfn.IFS(
  AND(D90&gt;=2195, D90&lt;=2249), "①-1",
  AND(D90&gt;=2250, D90&lt;=2299), "①-2",
  AND(D90&gt;=2300, D90&lt;=2349), "①-3",
  AND(D90&gt;=2350, D90&lt;=2384), "①-4",
  AND(D90&gt;=2385, D90&lt;=2449), "①-5",
  AND(D90&gt;=2450, D90&lt;=2499), "①-6",
  AND(D90&gt;=2500, D90&lt;=2600), "①-7",
  AND(D90&gt;=2550, D90&lt;=2600), "①-8"
),"")</f>
        <v/>
      </c>
      <c r="K90" s="19" t="str">
        <f t="shared" si="8"/>
        <v/>
      </c>
      <c r="L90" s="19" t="str">
        <f t="shared" si="9"/>
        <v/>
      </c>
    </row>
    <row r="91" spans="2:12" x14ac:dyDescent="0.3">
      <c r="B91" s="9"/>
      <c r="C91" s="9"/>
      <c r="D91" s="9"/>
      <c r="E91" s="10" t="str">
        <f t="shared" si="6"/>
        <v/>
      </c>
      <c r="F91" s="10" t="str">
        <f t="shared" si="7"/>
        <v/>
      </c>
      <c r="G91" s="10" t="str">
        <f t="shared" si="7"/>
        <v/>
      </c>
      <c r="H91" s="10" t="str">
        <f t="shared" si="7"/>
        <v/>
      </c>
      <c r="I91" s="10" t="str">
        <f t="shared" si="7"/>
        <v/>
      </c>
      <c r="J91" s="19" t="str" cm="1">
        <f t="array" ref="J91">IFERROR(_xlfn.IFS(
  AND(D91&gt;=2195, D91&lt;=2249), "①-1",
  AND(D91&gt;=2250, D91&lt;=2299), "①-2",
  AND(D91&gt;=2300, D91&lt;=2349), "①-3",
  AND(D91&gt;=2350, D91&lt;=2384), "①-4",
  AND(D91&gt;=2385, D91&lt;=2449), "①-5",
  AND(D91&gt;=2450, D91&lt;=2499), "①-6",
  AND(D91&gt;=2500, D91&lt;=2600), "①-7",
  AND(D91&gt;=2550, D91&lt;=2600), "①-8"
),"")</f>
        <v/>
      </c>
      <c r="K91" s="19" t="str">
        <f t="shared" si="8"/>
        <v/>
      </c>
      <c r="L91" s="19" t="str">
        <f t="shared" si="9"/>
        <v/>
      </c>
    </row>
    <row r="92" spans="2:12" x14ac:dyDescent="0.3">
      <c r="B92" s="9"/>
      <c r="C92" s="9"/>
      <c r="D92" s="9"/>
      <c r="E92" s="10" t="str">
        <f t="shared" si="6"/>
        <v/>
      </c>
      <c r="F92" s="10" t="str">
        <f t="shared" si="7"/>
        <v/>
      </c>
      <c r="G92" s="10" t="str">
        <f t="shared" si="7"/>
        <v/>
      </c>
      <c r="H92" s="10" t="str">
        <f t="shared" si="7"/>
        <v/>
      </c>
      <c r="I92" s="10" t="str">
        <f t="shared" si="7"/>
        <v/>
      </c>
      <c r="J92" s="19" t="str" cm="1">
        <f t="array" ref="J92">IFERROR(_xlfn.IFS(
  AND(D92&gt;=2195, D92&lt;=2249), "①-1",
  AND(D92&gt;=2250, D92&lt;=2299), "①-2",
  AND(D92&gt;=2300, D92&lt;=2349), "①-3",
  AND(D92&gt;=2350, D92&lt;=2384), "①-4",
  AND(D92&gt;=2385, D92&lt;=2449), "①-5",
  AND(D92&gt;=2450, D92&lt;=2499), "①-6",
  AND(D92&gt;=2500, D92&lt;=2600), "①-7",
  AND(D92&gt;=2550, D92&lt;=2600), "①-8"
),"")</f>
        <v/>
      </c>
      <c r="K92" s="19" t="str">
        <f t="shared" si="8"/>
        <v/>
      </c>
      <c r="L92" s="19" t="str">
        <f t="shared" si="9"/>
        <v/>
      </c>
    </row>
    <row r="93" spans="2:12" x14ac:dyDescent="0.3">
      <c r="B93" s="9"/>
      <c r="C93" s="9"/>
      <c r="D93" s="9"/>
      <c r="E93" s="10" t="str">
        <f t="shared" si="6"/>
        <v/>
      </c>
      <c r="F93" s="10" t="str">
        <f t="shared" si="7"/>
        <v/>
      </c>
      <c r="G93" s="10" t="str">
        <f t="shared" si="7"/>
        <v/>
      </c>
      <c r="H93" s="10" t="str">
        <f t="shared" si="7"/>
        <v/>
      </c>
      <c r="I93" s="10" t="str">
        <f t="shared" si="7"/>
        <v/>
      </c>
      <c r="J93" s="19" t="str" cm="1">
        <f t="array" ref="J93">IFERROR(_xlfn.IFS(
  AND(D93&gt;=2195, D93&lt;=2249), "①-1",
  AND(D93&gt;=2250, D93&lt;=2299), "①-2",
  AND(D93&gt;=2300, D93&lt;=2349), "①-3",
  AND(D93&gt;=2350, D93&lt;=2384), "①-4",
  AND(D93&gt;=2385, D93&lt;=2449), "①-5",
  AND(D93&gt;=2450, D93&lt;=2499), "①-6",
  AND(D93&gt;=2500, D93&lt;=2600), "①-7",
  AND(D93&gt;=2550, D93&lt;=2600), "①-8"
),"")</f>
        <v/>
      </c>
      <c r="K93" s="19" t="str">
        <f t="shared" si="8"/>
        <v/>
      </c>
      <c r="L93" s="19" t="str">
        <f t="shared" si="9"/>
        <v/>
      </c>
    </row>
    <row r="94" spans="2:12" x14ac:dyDescent="0.3">
      <c r="B94" s="9"/>
      <c r="C94" s="9"/>
      <c r="D94" s="9"/>
      <c r="E94" s="10" t="str">
        <f t="shared" si="6"/>
        <v/>
      </c>
      <c r="F94" s="10" t="str">
        <f t="shared" si="7"/>
        <v/>
      </c>
      <c r="G94" s="10" t="str">
        <f t="shared" si="7"/>
        <v/>
      </c>
      <c r="H94" s="10" t="str">
        <f t="shared" si="7"/>
        <v/>
      </c>
      <c r="I94" s="10" t="str">
        <f t="shared" si="7"/>
        <v/>
      </c>
      <c r="J94" s="19" t="str" cm="1">
        <f t="array" ref="J94">IFERROR(_xlfn.IFS(
  AND(D94&gt;=2195, D94&lt;=2249), "①-1",
  AND(D94&gt;=2250, D94&lt;=2299), "①-2",
  AND(D94&gt;=2300, D94&lt;=2349), "①-3",
  AND(D94&gt;=2350, D94&lt;=2384), "①-4",
  AND(D94&gt;=2385, D94&lt;=2449), "①-5",
  AND(D94&gt;=2450, D94&lt;=2499), "①-6",
  AND(D94&gt;=2500, D94&lt;=2600), "①-7",
  AND(D94&gt;=2550, D94&lt;=2600), "①-8"
),"")</f>
        <v/>
      </c>
      <c r="K94" s="19" t="str">
        <f t="shared" si="8"/>
        <v/>
      </c>
      <c r="L94" s="19" t="str">
        <f t="shared" si="9"/>
        <v/>
      </c>
    </row>
    <row r="95" spans="2:12" x14ac:dyDescent="0.3">
      <c r="B95" s="9"/>
      <c r="C95" s="9"/>
      <c r="D95" s="9"/>
      <c r="E95" s="10" t="str">
        <f t="shared" si="6"/>
        <v/>
      </c>
      <c r="F95" s="10" t="str">
        <f t="shared" si="7"/>
        <v/>
      </c>
      <c r="G95" s="10" t="str">
        <f t="shared" si="7"/>
        <v/>
      </c>
      <c r="H95" s="10" t="str">
        <f t="shared" si="7"/>
        <v/>
      </c>
      <c r="I95" s="10" t="str">
        <f t="shared" si="7"/>
        <v/>
      </c>
      <c r="J95" s="19" t="str" cm="1">
        <f t="array" ref="J95">IFERROR(_xlfn.IFS(
  AND(D95&gt;=2195, D95&lt;=2249), "①-1",
  AND(D95&gt;=2250, D95&lt;=2299), "①-2",
  AND(D95&gt;=2300, D95&lt;=2349), "①-3",
  AND(D95&gt;=2350, D95&lt;=2384), "①-4",
  AND(D95&gt;=2385, D95&lt;=2449), "①-5",
  AND(D95&gt;=2450, D95&lt;=2499), "①-6",
  AND(D95&gt;=2500, D95&lt;=2600), "①-7",
  AND(D95&gt;=2550, D95&lt;=2600), "①-8"
),"")</f>
        <v/>
      </c>
      <c r="K95" s="19" t="str">
        <f t="shared" si="8"/>
        <v/>
      </c>
      <c r="L95" s="19" t="str">
        <f t="shared" si="9"/>
        <v/>
      </c>
    </row>
    <row r="96" spans="2:12" x14ac:dyDescent="0.3">
      <c r="B96" s="9"/>
      <c r="C96" s="9"/>
      <c r="D96" s="9"/>
      <c r="E96" s="10" t="str">
        <f t="shared" si="6"/>
        <v/>
      </c>
      <c r="F96" s="10" t="str">
        <f t="shared" si="7"/>
        <v/>
      </c>
      <c r="G96" s="10" t="str">
        <f t="shared" si="7"/>
        <v/>
      </c>
      <c r="H96" s="10" t="str">
        <f t="shared" si="7"/>
        <v/>
      </c>
      <c r="I96" s="10" t="str">
        <f t="shared" si="7"/>
        <v/>
      </c>
      <c r="J96" s="19" t="str" cm="1">
        <f t="array" ref="J96">IFERROR(_xlfn.IFS(
  AND(D96&gt;=2195, D96&lt;=2249), "①-1",
  AND(D96&gt;=2250, D96&lt;=2299), "①-2",
  AND(D96&gt;=2300, D96&lt;=2349), "①-3",
  AND(D96&gt;=2350, D96&lt;=2384), "①-4",
  AND(D96&gt;=2385, D96&lt;=2449), "①-5",
  AND(D96&gt;=2450, D96&lt;=2499), "①-6",
  AND(D96&gt;=2500, D96&lt;=2600), "①-7",
  AND(D96&gt;=2550, D96&lt;=2600), "①-8"
),"")</f>
        <v/>
      </c>
      <c r="K96" s="19" t="str">
        <f t="shared" si="8"/>
        <v/>
      </c>
      <c r="L96" s="19" t="str">
        <f t="shared" si="9"/>
        <v/>
      </c>
    </row>
    <row r="97" spans="2:12" x14ac:dyDescent="0.3">
      <c r="B97" s="9"/>
      <c r="C97" s="9"/>
      <c r="D97" s="9"/>
      <c r="E97" s="10" t="str">
        <f t="shared" si="6"/>
        <v/>
      </c>
      <c r="F97" s="10" t="str">
        <f t="shared" si="7"/>
        <v/>
      </c>
      <c r="G97" s="10" t="str">
        <f t="shared" si="7"/>
        <v/>
      </c>
      <c r="H97" s="10" t="str">
        <f t="shared" si="7"/>
        <v/>
      </c>
      <c r="I97" s="10" t="str">
        <f t="shared" si="7"/>
        <v/>
      </c>
      <c r="J97" s="19" t="str" cm="1">
        <f t="array" ref="J97">IFERROR(_xlfn.IFS(
  AND(D97&gt;=2195, D97&lt;=2249), "①-1",
  AND(D97&gt;=2250, D97&lt;=2299), "①-2",
  AND(D97&gt;=2300, D97&lt;=2349), "①-3",
  AND(D97&gt;=2350, D97&lt;=2384), "①-4",
  AND(D97&gt;=2385, D97&lt;=2449), "①-5",
  AND(D97&gt;=2450, D97&lt;=2499), "①-6",
  AND(D97&gt;=2500, D97&lt;=2600), "①-7",
  AND(D97&gt;=2550, D97&lt;=2600), "①-8"
),"")</f>
        <v/>
      </c>
      <c r="K97" s="19" t="str">
        <f t="shared" si="8"/>
        <v/>
      </c>
      <c r="L97" s="19" t="str">
        <f t="shared" si="9"/>
        <v/>
      </c>
    </row>
    <row r="98" spans="2:12" x14ac:dyDescent="0.3">
      <c r="B98" s="9"/>
      <c r="C98" s="9"/>
      <c r="D98" s="9"/>
      <c r="E98" s="10" t="str">
        <f t="shared" si="6"/>
        <v/>
      </c>
      <c r="F98" s="10" t="str">
        <f t="shared" si="7"/>
        <v/>
      </c>
      <c r="G98" s="10" t="str">
        <f t="shared" si="7"/>
        <v/>
      </c>
      <c r="H98" s="10" t="str">
        <f t="shared" si="7"/>
        <v/>
      </c>
      <c r="I98" s="10" t="str">
        <f t="shared" si="7"/>
        <v/>
      </c>
      <c r="J98" s="19" t="str" cm="1">
        <f t="array" ref="J98">IFERROR(_xlfn.IFS(
  AND(D98&gt;=2195, D98&lt;=2249), "①-1",
  AND(D98&gt;=2250, D98&lt;=2299), "①-2",
  AND(D98&gt;=2300, D98&lt;=2349), "①-3",
  AND(D98&gt;=2350, D98&lt;=2384), "①-4",
  AND(D98&gt;=2385, D98&lt;=2449), "①-5",
  AND(D98&gt;=2450, D98&lt;=2499), "①-6",
  AND(D98&gt;=2500, D98&lt;=2600), "①-7",
  AND(D98&gt;=2550, D98&lt;=2600), "①-8"
),"")</f>
        <v/>
      </c>
      <c r="K98" s="19" t="str">
        <f t="shared" si="8"/>
        <v/>
      </c>
      <c r="L98" s="19" t="str">
        <f t="shared" si="9"/>
        <v/>
      </c>
    </row>
    <row r="99" spans="2:12" x14ac:dyDescent="0.3">
      <c r="B99" s="9"/>
      <c r="C99" s="9"/>
      <c r="D99" s="9"/>
      <c r="E99" s="10" t="str">
        <f t="shared" si="6"/>
        <v/>
      </c>
      <c r="F99" s="10" t="str">
        <f t="shared" si="7"/>
        <v/>
      </c>
      <c r="G99" s="10" t="str">
        <f t="shared" si="7"/>
        <v/>
      </c>
      <c r="H99" s="10" t="str">
        <f t="shared" si="7"/>
        <v/>
      </c>
      <c r="I99" s="10" t="str">
        <f t="shared" si="7"/>
        <v/>
      </c>
      <c r="J99" s="19" t="str" cm="1">
        <f t="array" ref="J99">IFERROR(_xlfn.IFS(
  AND(D99&gt;=2195, D99&lt;=2249), "①-1",
  AND(D99&gt;=2250, D99&lt;=2299), "①-2",
  AND(D99&gt;=2300, D99&lt;=2349), "①-3",
  AND(D99&gt;=2350, D99&lt;=2384), "①-4",
  AND(D99&gt;=2385, D99&lt;=2449), "①-5",
  AND(D99&gt;=2450, D99&lt;=2499), "①-6",
  AND(D99&gt;=2500, D99&lt;=2600), "①-7",
  AND(D99&gt;=2550, D99&lt;=2600), "①-8"
),"")</f>
        <v/>
      </c>
      <c r="K99" s="19" t="str">
        <f t="shared" si="8"/>
        <v/>
      </c>
      <c r="L99" s="19" t="str">
        <f t="shared" si="9"/>
        <v/>
      </c>
    </row>
    <row r="100" spans="2:12" x14ac:dyDescent="0.3">
      <c r="B100" s="9"/>
      <c r="C100" s="9"/>
      <c r="D100" s="9"/>
      <c r="E100" s="10" t="str">
        <f t="shared" si="6"/>
        <v/>
      </c>
      <c r="F100" s="10" t="str">
        <f t="shared" si="7"/>
        <v/>
      </c>
      <c r="G100" s="10" t="str">
        <f t="shared" si="7"/>
        <v/>
      </c>
      <c r="H100" s="10" t="str">
        <f t="shared" si="7"/>
        <v/>
      </c>
      <c r="I100" s="10" t="str">
        <f t="shared" si="7"/>
        <v/>
      </c>
      <c r="J100" s="19" t="str" cm="1">
        <f t="array" ref="J100">IFERROR(_xlfn.IFS(
  AND(D100&gt;=2195, D100&lt;=2249), "①-1",
  AND(D100&gt;=2250, D100&lt;=2299), "①-2",
  AND(D100&gt;=2300, D100&lt;=2349), "①-3",
  AND(D100&gt;=2350, D100&lt;=2384), "①-4",
  AND(D100&gt;=2385, D100&lt;=2449), "①-5",
  AND(D100&gt;=2450, D100&lt;=2499), "①-6",
  AND(D100&gt;=2500, D100&lt;=2600), "①-7",
  AND(D100&gt;=2550, D100&lt;=2600), "①-8"
),"")</f>
        <v/>
      </c>
      <c r="K100" s="19" t="str">
        <f t="shared" si="8"/>
        <v/>
      </c>
      <c r="L100" s="19" t="str">
        <f t="shared" si="9"/>
        <v/>
      </c>
    </row>
  </sheetData>
  <mergeCells count="6">
    <mergeCell ref="U3:U4"/>
    <mergeCell ref="O3:O4"/>
    <mergeCell ref="P3:Q3"/>
    <mergeCell ref="R3:R4"/>
    <mergeCell ref="S3:S4"/>
    <mergeCell ref="T3:T4"/>
  </mergeCells>
  <phoneticPr fontId="1"/>
  <dataValidations count="1">
    <dataValidation type="list" allowBlank="1" showInputMessage="1" showErrorMessage="1" sqref="C5:C100" xr:uid="{88B9F212-A4E2-42C8-9C90-BF6582CE62F3}">
      <formula1>$N$5:$N$11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9B2E-4D24-40A2-B202-5035BA4257AD}">
  <dimension ref="A1"/>
  <sheetViews>
    <sheetView workbookViewId="0">
      <selection activeCell="L1" sqref="L1"/>
    </sheetView>
  </sheetViews>
  <sheetFormatPr defaultRowHeight="15" x14ac:dyDescent="0.3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8801-806D-45F3-85A4-5B317C5935C7}">
  <dimension ref="A1"/>
  <sheetViews>
    <sheetView workbookViewId="0">
      <selection activeCell="H1" sqref="H1"/>
    </sheetView>
  </sheetViews>
  <sheetFormatPr defaultRowHeight="15" x14ac:dyDescent="0.3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Parameter_Input</vt:lpstr>
      <vt:lpstr>Parameter</vt:lpstr>
      <vt:lpstr>Position and 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Sakai ISZJ</dc:creator>
  <cp:lastModifiedBy>Filipe Paiva</cp:lastModifiedBy>
  <dcterms:created xsi:type="dcterms:W3CDTF">2025-06-27T06:13:16Z</dcterms:created>
  <dcterms:modified xsi:type="dcterms:W3CDTF">2025-10-13T18:29:49Z</dcterms:modified>
</cp:coreProperties>
</file>