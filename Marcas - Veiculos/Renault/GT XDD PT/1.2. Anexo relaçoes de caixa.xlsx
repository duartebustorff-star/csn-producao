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 activeTab="1"/>
  </bookViews>
  <sheets>
    <sheet name="V1000_XDD_M922" sheetId="1" r:id="rId1"/>
    <sheet name="V1000_XDD_M9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9" i="2" l="1"/>
  <c r="V14" i="2"/>
  <c r="V13" i="2"/>
  <c r="V12" i="2"/>
  <c r="V11" i="2"/>
  <c r="V10" i="2"/>
  <c r="V9" i="2"/>
  <c r="V20" i="2" l="1"/>
  <c r="T39" i="2" l="1"/>
  <c r="T46" i="2" l="1"/>
  <c r="T12" i="2"/>
  <c r="T50" i="2"/>
  <c r="V50" i="2"/>
  <c r="T49" i="2"/>
  <c r="T76" i="2"/>
  <c r="T48" i="2"/>
  <c r="T51" i="2"/>
  <c r="T47" i="2"/>
  <c r="V51" i="2"/>
  <c r="V49" i="2"/>
  <c r="V48" i="2"/>
  <c r="X14" i="2"/>
  <c r="X13" i="2"/>
  <c r="X12" i="2"/>
  <c r="X11" i="2"/>
  <c r="V47" i="2"/>
  <c r="V46" i="2"/>
  <c r="T11" i="2"/>
  <c r="T10" i="2"/>
  <c r="T9" i="2"/>
  <c r="V76" i="2"/>
  <c r="V57" i="2" l="1"/>
  <c r="T57" i="2"/>
  <c r="M75" i="2"/>
  <c r="H75" i="2"/>
  <c r="F75" i="2"/>
  <c r="M51" i="2"/>
  <c r="H51" i="2"/>
  <c r="F51" i="2"/>
  <c r="M50" i="2"/>
  <c r="H50" i="2"/>
  <c r="F50" i="2"/>
  <c r="M49" i="2"/>
  <c r="H49" i="2"/>
  <c r="F49" i="2"/>
  <c r="M48" i="2"/>
  <c r="H48" i="2"/>
  <c r="F48" i="2"/>
  <c r="M47" i="2"/>
  <c r="M56" i="2" s="1"/>
  <c r="H47" i="2"/>
  <c r="H56" i="2" s="1"/>
  <c r="F47" i="2"/>
  <c r="F56" i="2" s="1"/>
  <c r="M46" i="2"/>
  <c r="H46" i="2"/>
  <c r="F46" i="2"/>
  <c r="X39" i="2"/>
  <c r="O39" i="2"/>
  <c r="M39" i="2"/>
  <c r="H39" i="2"/>
  <c r="F39" i="2"/>
  <c r="O17" i="2"/>
  <c r="M17" i="2"/>
  <c r="O16" i="2"/>
  <c r="M16" i="2"/>
  <c r="O15" i="2"/>
  <c r="M15" i="2"/>
  <c r="T14" i="2"/>
  <c r="T20" i="2" s="1"/>
  <c r="O14" i="2"/>
  <c r="M14" i="2"/>
  <c r="H14" i="2"/>
  <c r="F14" i="2"/>
  <c r="T13" i="2"/>
  <c r="O13" i="2"/>
  <c r="M13" i="2"/>
  <c r="H13" i="2"/>
  <c r="F13" i="2"/>
  <c r="O12" i="2"/>
  <c r="M12" i="2"/>
  <c r="H12" i="2"/>
  <c r="F12" i="2"/>
  <c r="O11" i="2"/>
  <c r="M11" i="2"/>
  <c r="H11" i="2"/>
  <c r="F11" i="2"/>
  <c r="X10" i="2"/>
  <c r="O10" i="2"/>
  <c r="O19" i="2" s="1"/>
  <c r="M10" i="2"/>
  <c r="M19" i="2" s="1"/>
  <c r="H10" i="2"/>
  <c r="H19" i="2" s="1"/>
  <c r="F10" i="2"/>
  <c r="F19" i="2" s="1"/>
  <c r="X9" i="2"/>
  <c r="O9" i="2"/>
  <c r="M9" i="2"/>
  <c r="H9" i="2"/>
  <c r="F9" i="2"/>
  <c r="M57" i="2" l="1"/>
  <c r="H57" i="2"/>
  <c r="F20" i="2"/>
  <c r="H20" i="2"/>
  <c r="M20" i="2"/>
  <c r="X20" i="2"/>
  <c r="O20" i="2"/>
  <c r="F57" i="2"/>
  <c r="F6" i="1"/>
  <c r="H6" i="1"/>
  <c r="J6" i="1"/>
  <c r="O6" i="1"/>
  <c r="Q6" i="1"/>
  <c r="V6" i="1"/>
  <c r="X6" i="1"/>
  <c r="F7" i="1"/>
  <c r="F16" i="1" s="1"/>
  <c r="H7" i="1"/>
  <c r="J7" i="1"/>
  <c r="O7" i="1"/>
  <c r="Q7" i="1"/>
  <c r="Q16" i="1" s="1"/>
  <c r="V7" i="1"/>
  <c r="X7" i="1"/>
  <c r="F8" i="1"/>
  <c r="H8" i="1"/>
  <c r="J8" i="1"/>
  <c r="O8" i="1"/>
  <c r="Q8" i="1"/>
  <c r="V8" i="1"/>
  <c r="X8" i="1"/>
  <c r="F9" i="1"/>
  <c r="H9" i="1"/>
  <c r="J9" i="1"/>
  <c r="O9" i="1"/>
  <c r="Q9" i="1"/>
  <c r="V9" i="1"/>
  <c r="X9" i="1"/>
  <c r="F10" i="1"/>
  <c r="H10" i="1"/>
  <c r="J10" i="1"/>
  <c r="O10" i="1"/>
  <c r="Q10" i="1"/>
  <c r="V10" i="1"/>
  <c r="X10" i="1"/>
  <c r="F11" i="1"/>
  <c r="F17" i="1" s="1"/>
  <c r="H11" i="1"/>
  <c r="J11" i="1"/>
  <c r="O11" i="1"/>
  <c r="Q11" i="1"/>
  <c r="V11" i="1"/>
  <c r="X11" i="1"/>
  <c r="X17" i="1" s="1"/>
  <c r="O12" i="1"/>
  <c r="Q12" i="1"/>
  <c r="O13" i="1"/>
  <c r="Q13" i="1"/>
  <c r="O14" i="1"/>
  <c r="Q14" i="1"/>
  <c r="Q17" i="1" s="1"/>
  <c r="H16" i="1"/>
  <c r="J16" i="1"/>
  <c r="O16" i="1"/>
  <c r="H17" i="1"/>
  <c r="F36" i="1"/>
  <c r="H36" i="1"/>
  <c r="J36" i="1"/>
  <c r="O36" i="1"/>
  <c r="Q36" i="1"/>
  <c r="V36" i="1"/>
  <c r="X36" i="1"/>
  <c r="F43" i="1"/>
  <c r="H43" i="1"/>
  <c r="O43" i="1"/>
  <c r="F44" i="1"/>
  <c r="F53" i="1" s="1"/>
  <c r="H44" i="1"/>
  <c r="H53" i="1" s="1"/>
  <c r="O44" i="1"/>
  <c r="F45" i="1"/>
  <c r="H45" i="1"/>
  <c r="O45" i="1"/>
  <c r="F46" i="1"/>
  <c r="H46" i="1"/>
  <c r="O46" i="1"/>
  <c r="F47" i="1"/>
  <c r="H47" i="1"/>
  <c r="O47" i="1"/>
  <c r="F48" i="1"/>
  <c r="F54" i="1" s="1"/>
  <c r="H48" i="1"/>
  <c r="O48" i="1"/>
  <c r="O53" i="1"/>
  <c r="F72" i="1"/>
  <c r="H72" i="1"/>
  <c r="O72" i="1"/>
  <c r="O54" i="1" l="1"/>
  <c r="V17" i="1"/>
  <c r="H54" i="1"/>
  <c r="O17" i="1"/>
  <c r="J17" i="1"/>
</calcChain>
</file>

<file path=xl/comments1.xml><?xml version="1.0" encoding="utf-8"?>
<comments xmlns="http://schemas.openxmlformats.org/spreadsheetml/2006/main">
  <authors>
    <author>HUGUES Pierre-André</author>
  </authors>
  <commentList>
    <comment ref="W32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1/2/3/5/6</t>
        </r>
      </text>
    </comment>
    <comment ref="Y32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1/2/3/5/6</t>
        </r>
      </text>
    </comment>
    <comment ref="W34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1/2/5/6</t>
        </r>
      </text>
    </comment>
    <comment ref="Y34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1/2/5/6</t>
        </r>
      </text>
    </comment>
    <comment ref="W35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3/4/REV</t>
        </r>
      </text>
    </comment>
    <comment ref="Y35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3/4/REV</t>
        </r>
      </text>
    </comment>
  </commentList>
</comments>
</file>

<file path=xl/comments2.xml><?xml version="1.0" encoding="utf-8"?>
<comments xmlns="http://schemas.openxmlformats.org/spreadsheetml/2006/main">
  <authors>
    <author>HUGUES Pierre-André</author>
  </authors>
  <commentList>
    <comment ref="K9" authorId="0">
      <text>
        <r>
          <rPr>
            <b/>
            <sz val="11"/>
            <color indexed="81"/>
            <rFont val="Tahoma"/>
            <family val="2"/>
          </rPr>
          <t>HUGUES Pierre-André:</t>
        </r>
        <r>
          <rPr>
            <sz val="11"/>
            <color indexed="81"/>
            <rFont val="Tahoma"/>
            <family val="2"/>
          </rPr>
          <t xml:space="preserve">
Boite limitée à 270 Nm
surlimitation à cause des SMO à 232 Nm (uniquement sur M920 XDD)</t>
        </r>
      </text>
    </comment>
    <comment ref="F30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OLD : 51</t>
        </r>
      </text>
    </comment>
    <comment ref="G30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OLD : 28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OLD : 51</t>
        </r>
      </text>
    </comment>
    <comment ref="I30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OLD : 28</t>
        </r>
      </text>
    </comment>
    <comment ref="U35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1/2/3/5/6</t>
        </r>
      </text>
    </comment>
    <comment ref="W35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1/2/3/5/6</t>
        </r>
      </text>
    </comment>
    <comment ref="Y35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1/2/3/5/6</t>
        </r>
      </text>
    </comment>
    <comment ref="U37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1/2/5/6</t>
        </r>
      </text>
    </comment>
    <comment ref="W37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1/2/5/6</t>
        </r>
      </text>
    </comment>
    <comment ref="Y37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1/2/5/6</t>
        </r>
      </text>
    </comment>
    <comment ref="U38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3/4/REV</t>
        </r>
      </text>
    </comment>
    <comment ref="W38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3/4/REV</t>
        </r>
      </text>
    </comment>
    <comment ref="Y38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3/4/REV</t>
        </r>
      </text>
    </comment>
    <comment ref="U72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1/2/3/5/6</t>
        </r>
      </text>
    </comment>
    <comment ref="W72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1/2/3/5/6</t>
        </r>
      </text>
    </comment>
    <comment ref="U74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1/2/5/6</t>
        </r>
      </text>
    </comment>
    <comment ref="W74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1/2/5/6</t>
        </r>
      </text>
    </comment>
    <comment ref="U75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3/4/REV</t>
        </r>
      </text>
    </comment>
    <comment ref="W75" authorId="0">
      <text>
        <r>
          <rPr>
            <b/>
            <sz val="9"/>
            <color indexed="81"/>
            <rFont val="Tahoma"/>
            <family val="2"/>
          </rPr>
          <t>HUGUES Pierre-André:</t>
        </r>
        <r>
          <rPr>
            <sz val="9"/>
            <color indexed="81"/>
            <rFont val="Tahoma"/>
            <family val="2"/>
          </rPr>
          <t xml:space="preserve">
3/4/REV</t>
        </r>
      </text>
    </comment>
  </commentList>
</comments>
</file>

<file path=xl/sharedStrings.xml><?xml version="1.0" encoding="utf-8"?>
<sst xmlns="http://schemas.openxmlformats.org/spreadsheetml/2006/main" count="226" uniqueCount="71">
  <si>
    <t>Traction caixa manual</t>
  </si>
  <si>
    <t>Traction caixa automática</t>
  </si>
  <si>
    <t>Propulsion caixa manual</t>
  </si>
  <si>
    <t>PX40 longa</t>
  </si>
  <si>
    <t>PX40 curta</t>
  </si>
  <si>
    <t>Limit. Binário</t>
  </si>
  <si>
    <t>ZT50</t>
  </si>
  <si>
    <t>HX45</t>
  </si>
  <si>
    <t>D1/D2-/D2+</t>
  </si>
  <si>
    <t>D3</t>
  </si>
  <si>
    <t>D3 N2 (MMAC = 4T)</t>
  </si>
  <si>
    <t>D2+/D3</t>
  </si>
  <si>
    <t>D2+/D3 N2/M2</t>
  </si>
  <si>
    <t>PRS</t>
  </si>
  <si>
    <t>PRJ</t>
  </si>
  <si>
    <t>XDD M922 E06W/VIe</t>
  </si>
  <si>
    <t>SPEEDS @
1000 RPM</t>
  </si>
  <si>
    <r>
      <rPr>
        <b/>
        <sz val="11"/>
        <color indexed="8"/>
        <rFont val="Arial"/>
        <family val="2"/>
      </rPr>
      <t>1</t>
    </r>
    <r>
      <rPr>
        <b/>
        <vertAlign val="superscript"/>
        <sz val="11"/>
        <color indexed="8"/>
        <rFont val="Arial"/>
        <family val="2"/>
      </rPr>
      <t>st</t>
    </r>
    <r>
      <rPr>
        <b/>
        <sz val="11"/>
        <color indexed="8"/>
        <rFont val="Arial"/>
        <family val="2"/>
      </rPr>
      <t xml:space="preserve"> [km/h]</t>
    </r>
  </si>
  <si>
    <r>
      <rPr>
        <b/>
        <sz val="11"/>
        <color indexed="8"/>
        <rFont val="Arial"/>
        <family val="2"/>
      </rPr>
      <t>2</t>
    </r>
    <r>
      <rPr>
        <b/>
        <vertAlign val="superscript"/>
        <sz val="11"/>
        <color indexed="8"/>
        <rFont val="Arial"/>
        <family val="2"/>
      </rPr>
      <t>nd</t>
    </r>
    <r>
      <rPr>
        <b/>
        <sz val="11"/>
        <color indexed="8"/>
        <rFont val="Arial"/>
        <family val="2"/>
      </rPr>
      <t xml:space="preserve"> [km/h]</t>
    </r>
  </si>
  <si>
    <r>
      <rPr>
        <b/>
        <sz val="11"/>
        <color indexed="8"/>
        <rFont val="Arial"/>
        <family val="2"/>
      </rPr>
      <t>3</t>
    </r>
    <r>
      <rPr>
        <b/>
        <vertAlign val="superscript"/>
        <sz val="11"/>
        <color indexed="8"/>
        <rFont val="Arial"/>
        <family val="2"/>
      </rPr>
      <t>rd</t>
    </r>
    <r>
      <rPr>
        <b/>
        <sz val="11"/>
        <color indexed="8"/>
        <rFont val="Arial"/>
        <family val="2"/>
      </rPr>
      <t xml:space="preserve"> [km/h]</t>
    </r>
  </si>
  <si>
    <r>
      <rPr>
        <b/>
        <sz val="11"/>
        <color indexed="8"/>
        <rFont val="Arial"/>
        <family val="2"/>
      </rPr>
      <t>4</t>
    </r>
    <r>
      <rPr>
        <b/>
        <vertAlign val="superscript"/>
        <sz val="11"/>
        <color indexed="8"/>
        <rFont val="Arial"/>
        <family val="2"/>
      </rPr>
      <t>th</t>
    </r>
    <r>
      <rPr>
        <b/>
        <sz val="11"/>
        <color indexed="8"/>
        <rFont val="Arial"/>
        <family val="2"/>
      </rPr>
      <t xml:space="preserve"> [km/h]</t>
    </r>
  </si>
  <si>
    <r>
      <rPr>
        <b/>
        <sz val="11"/>
        <color indexed="8"/>
        <rFont val="Arial"/>
        <family val="2"/>
      </rPr>
      <t>5</t>
    </r>
    <r>
      <rPr>
        <b/>
        <vertAlign val="superscript"/>
        <sz val="11"/>
        <color indexed="8"/>
        <rFont val="Arial"/>
        <family val="2"/>
      </rPr>
      <t>th</t>
    </r>
    <r>
      <rPr>
        <b/>
        <sz val="11"/>
        <color indexed="8"/>
        <rFont val="Arial"/>
        <family val="2"/>
      </rPr>
      <t xml:space="preserve"> [km/h]</t>
    </r>
  </si>
  <si>
    <r>
      <rPr>
        <b/>
        <sz val="11"/>
        <color indexed="8"/>
        <rFont val="Arial"/>
        <family val="2"/>
      </rPr>
      <t>6</t>
    </r>
    <r>
      <rPr>
        <b/>
        <vertAlign val="superscript"/>
        <sz val="11"/>
        <color indexed="8"/>
        <rFont val="Arial"/>
        <family val="2"/>
      </rPr>
      <t>th</t>
    </r>
    <r>
      <rPr>
        <b/>
        <sz val="11"/>
        <color indexed="8"/>
        <rFont val="Arial"/>
        <family val="2"/>
      </rPr>
      <t xml:space="preserve"> [km/h]</t>
    </r>
  </si>
  <si>
    <r>
      <rPr>
        <b/>
        <sz val="11"/>
        <color indexed="8"/>
        <rFont val="Arial"/>
        <family val="2"/>
      </rPr>
      <t>7</t>
    </r>
    <r>
      <rPr>
        <b/>
        <vertAlign val="superscript"/>
        <sz val="11"/>
        <color indexed="8"/>
        <rFont val="Arial"/>
        <family val="2"/>
      </rPr>
      <t>th</t>
    </r>
    <r>
      <rPr>
        <b/>
        <sz val="11"/>
        <color indexed="8"/>
        <rFont val="Arial"/>
        <family val="2"/>
      </rPr>
      <t xml:space="preserve"> [km/h]</t>
    </r>
  </si>
  <si>
    <r>
      <rPr>
        <b/>
        <sz val="11"/>
        <color indexed="8"/>
        <rFont val="Arial"/>
        <family val="2"/>
      </rPr>
      <t>8</t>
    </r>
    <r>
      <rPr>
        <b/>
        <vertAlign val="superscript"/>
        <sz val="11"/>
        <color indexed="8"/>
        <rFont val="Arial"/>
        <family val="2"/>
      </rPr>
      <t>th</t>
    </r>
    <r>
      <rPr>
        <b/>
        <sz val="11"/>
        <color indexed="8"/>
        <rFont val="Arial"/>
        <family val="2"/>
      </rPr>
      <t xml:space="preserve"> [km/h]</t>
    </r>
  </si>
  <si>
    <r>
      <rPr>
        <b/>
        <sz val="11"/>
        <color indexed="8"/>
        <rFont val="Arial"/>
        <family val="2"/>
      </rPr>
      <t>9</t>
    </r>
    <r>
      <rPr>
        <b/>
        <vertAlign val="superscript"/>
        <sz val="11"/>
        <color indexed="8"/>
        <rFont val="Arial"/>
        <family val="2"/>
      </rPr>
      <t>th</t>
    </r>
    <r>
      <rPr>
        <b/>
        <sz val="11"/>
        <color indexed="8"/>
        <rFont val="Arial"/>
        <family val="2"/>
      </rPr>
      <t xml:space="preserve"> [km/h]</t>
    </r>
  </si>
  <si>
    <t>Rev. (km/h)</t>
  </si>
  <si>
    <t>Spread</t>
  </si>
  <si>
    <t>Pneu</t>
  </si>
  <si>
    <t>Montagem</t>
  </si>
  <si>
    <t>205/75 R16</t>
  </si>
  <si>
    <t>215/75 R16</t>
  </si>
  <si>
    <t>235/65 R16</t>
  </si>
  <si>
    <t>Desenvolvida [m]</t>
  </si>
  <si>
    <t>GEAR SET</t>
  </si>
  <si>
    <r>
      <rPr>
        <sz val="11"/>
        <color indexed="8"/>
        <rFont val="Arial"/>
        <family val="2"/>
      </rPr>
      <t>1</t>
    </r>
    <r>
      <rPr>
        <vertAlign val="superscript"/>
        <sz val="11"/>
        <color indexed="8"/>
        <rFont val="Arial"/>
        <family val="2"/>
      </rPr>
      <t>st</t>
    </r>
  </si>
  <si>
    <r>
      <rPr>
        <sz val="11"/>
        <color indexed="8"/>
        <rFont val="Arial"/>
        <family val="2"/>
      </rPr>
      <t>2</t>
    </r>
    <r>
      <rPr>
        <vertAlign val="superscript"/>
        <sz val="11"/>
        <color indexed="8"/>
        <rFont val="Arial"/>
        <family val="2"/>
      </rPr>
      <t>nd</t>
    </r>
  </si>
  <si>
    <r>
      <rPr>
        <sz val="11"/>
        <color indexed="8"/>
        <rFont val="Arial"/>
        <family val="2"/>
      </rPr>
      <t>3</t>
    </r>
    <r>
      <rPr>
        <vertAlign val="superscript"/>
        <sz val="11"/>
        <color indexed="8"/>
        <rFont val="Arial"/>
        <family val="2"/>
      </rPr>
      <t>rd</t>
    </r>
  </si>
  <si>
    <r>
      <rPr>
        <sz val="11"/>
        <color indexed="8"/>
        <rFont val="Arial"/>
        <family val="2"/>
      </rPr>
      <t>4</t>
    </r>
    <r>
      <rPr>
        <vertAlign val="superscript"/>
        <sz val="11"/>
        <color indexed="8"/>
        <rFont val="Arial"/>
        <family val="2"/>
      </rPr>
      <t>th</t>
    </r>
  </si>
  <si>
    <r>
      <rPr>
        <sz val="11"/>
        <color indexed="8"/>
        <rFont val="Arial"/>
        <family val="2"/>
      </rPr>
      <t>5</t>
    </r>
    <r>
      <rPr>
        <vertAlign val="superscript"/>
        <sz val="11"/>
        <color indexed="8"/>
        <rFont val="Arial"/>
        <family val="2"/>
      </rPr>
      <t>th</t>
    </r>
  </si>
  <si>
    <r>
      <rPr>
        <sz val="11"/>
        <color indexed="8"/>
        <rFont val="Arial"/>
        <family val="2"/>
      </rPr>
      <t>6</t>
    </r>
    <r>
      <rPr>
        <vertAlign val="superscript"/>
        <sz val="11"/>
        <color indexed="8"/>
        <rFont val="Arial"/>
        <family val="2"/>
      </rPr>
      <t>th</t>
    </r>
  </si>
  <si>
    <r>
      <rPr>
        <sz val="11"/>
        <color indexed="8"/>
        <rFont val="Arial"/>
        <family val="2"/>
      </rPr>
      <t>7</t>
    </r>
    <r>
      <rPr>
        <vertAlign val="superscript"/>
        <sz val="11"/>
        <color indexed="8"/>
        <rFont val="Arial"/>
        <family val="2"/>
      </rPr>
      <t>th</t>
    </r>
  </si>
  <si>
    <r>
      <rPr>
        <sz val="11"/>
        <color indexed="8"/>
        <rFont val="Arial"/>
        <family val="2"/>
      </rPr>
      <t>8</t>
    </r>
    <r>
      <rPr>
        <vertAlign val="superscript"/>
        <sz val="11"/>
        <color indexed="8"/>
        <rFont val="Arial"/>
        <family val="2"/>
      </rPr>
      <t>th</t>
    </r>
  </si>
  <si>
    <r>
      <rPr>
        <sz val="11"/>
        <color indexed="8"/>
        <rFont val="Arial"/>
        <family val="2"/>
      </rPr>
      <t>9</t>
    </r>
    <r>
      <rPr>
        <vertAlign val="superscript"/>
        <sz val="11"/>
        <color indexed="8"/>
        <rFont val="Arial"/>
        <family val="2"/>
      </rPr>
      <t>th</t>
    </r>
  </si>
  <si>
    <t>Constant mesh</t>
  </si>
  <si>
    <t>MAR</t>
  </si>
  <si>
    <t>1st Final Drive</t>
  </si>
  <si>
    <r>
      <rPr>
        <sz val="11"/>
        <color theme="1"/>
        <rFont val="Arial"/>
        <family val="2"/>
      </rPr>
      <t>2</t>
    </r>
    <r>
      <rPr>
        <vertAlign val="superscript"/>
        <sz val="11"/>
        <color rgb="FF000000"/>
        <rFont val="Arial"/>
        <family val="2"/>
      </rPr>
      <t>nd</t>
    </r>
    <r>
      <rPr>
        <sz val="11"/>
        <color rgb="FF000000"/>
        <rFont val="Arial"/>
        <family val="2"/>
      </rPr>
      <t xml:space="preserve"> Final Drive</t>
    </r>
    <r>
      <rPr>
        <sz val="11"/>
        <color rgb="FF000000"/>
        <rFont val="Arial"/>
        <family val="2"/>
      </rPr>
      <t xml:space="preserve"> </t>
    </r>
  </si>
  <si>
    <t>-</t>
  </si>
  <si>
    <t>ratio</t>
  </si>
  <si>
    <t>PX35M6Fg3 longa</t>
  </si>
  <si>
    <t>PX35M6Fg3 curta</t>
  </si>
  <si>
    <t>PA0</t>
  </si>
  <si>
    <t>X62ph2 E06T/E06U</t>
  </si>
  <si>
    <t>225/65 R16</t>
  </si>
  <si>
    <t>Desenvolvida</t>
  </si>
  <si>
    <t xml:space="preserve"> </t>
  </si>
  <si>
    <t xml:space="preserve">Ficha 1.2. Anexo relações de caixa </t>
  </si>
  <si>
    <t>Índice -</t>
  </si>
  <si>
    <t>Atualização: 23/06/2023</t>
  </si>
  <si>
    <t>PX35+ curta</t>
  </si>
  <si>
    <t>D1/D2-/D2+/D3</t>
  </si>
  <si>
    <t>D3 N2 (MMAC = 4T)
D2+ M2 (MMAC = 4T)
e N1
CCAR</t>
  </si>
  <si>
    <t>D2+/D3 N2/M2
e N1 All Season
CCAR</t>
  </si>
  <si>
    <t>PRS
N1 (&lt;3T5)</t>
  </si>
  <si>
    <t>PRJ
N1 (&lt;3T5)</t>
  </si>
  <si>
    <t>PRJ
N2 (4T5); M2</t>
  </si>
  <si>
    <t>XDD M920 E06W/VIe</t>
  </si>
  <si>
    <t>ZF4</t>
  </si>
  <si>
    <t>PRJ
N1 (&lt;3T5); N2 (4T51); M2</t>
  </si>
  <si>
    <t>195/75 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</si>
</sst>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22"/>
      <color theme="1"/>
      <name val="Calibri"/>
      <family val="2"/>
      <scheme val="minor"/>
    </font>
    <font>
      <sz val="11"/>
      <color indexed="8"/>
      <name val="Arial"/>
      <family val="2"/>
    </font>
    <font>
      <vertAlign val="superscript"/>
      <sz val="11"/>
      <color indexed="8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0"/>
      <color rgb="FF000000"/>
      <name val="Calibri"/>
      <family val="2"/>
    </font>
    <font>
      <b/>
      <sz val="11"/>
      <color indexed="8"/>
      <name val="Arial"/>
      <family val="2"/>
    </font>
    <font>
      <b/>
      <vertAlign val="superscript"/>
      <sz val="11"/>
      <color indexed="8"/>
      <name val="Arial"/>
      <family val="2"/>
    </font>
    <font>
      <b/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vertAlign val="superscript"/>
      <sz val="11"/>
      <color rgb="FF000000"/>
      <name val="Arial"/>
      <family val="2"/>
    </font>
    <font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FFFF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2" fillId="2" borderId="3" xfId="1" applyFont="1" applyFill="1" applyBorder="1" applyAlignment="1">
      <alignment horizontal="center"/>
    </xf>
    <xf numFmtId="0" fontId="4" fillId="0" borderId="1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0" fontId="4" fillId="3" borderId="1" xfId="1" applyFont="1" applyFill="1" applyBorder="1" applyAlignment="1" applyProtection="1">
      <alignment horizontal="center" vertical="center"/>
      <protection locked="0"/>
    </xf>
    <xf numFmtId="0" fontId="4" fillId="3" borderId="2" xfId="1" applyFont="1" applyFill="1" applyBorder="1" applyAlignment="1" applyProtection="1">
      <alignment horizontal="center" vertical="center"/>
      <protection locked="0"/>
    </xf>
    <xf numFmtId="0" fontId="4" fillId="2" borderId="3" xfId="1" applyFont="1" applyFill="1" applyBorder="1" applyAlignment="1">
      <alignment horizontal="center"/>
    </xf>
    <xf numFmtId="0" fontId="2" fillId="0" borderId="8" xfId="1" applyFont="1" applyBorder="1" applyAlignment="1" applyProtection="1">
      <alignment horizontal="center" vertical="center"/>
      <protection locked="0"/>
    </xf>
    <xf numFmtId="0" fontId="2" fillId="0" borderId="7" xfId="1" applyFont="1" applyBorder="1" applyAlignment="1" applyProtection="1">
      <alignment horizontal="center" vertical="center"/>
      <protection locked="0"/>
    </xf>
    <xf numFmtId="0" fontId="4" fillId="2" borderId="9" xfId="1" applyFont="1" applyFill="1" applyBorder="1" applyAlignment="1">
      <alignment horizontal="center" vertical="center"/>
    </xf>
    <xf numFmtId="0" fontId="4" fillId="0" borderId="8" xfId="1" applyFont="1" applyBorder="1" applyAlignment="1" applyProtection="1">
      <alignment horizontal="center" vertical="center"/>
      <protection locked="0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10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11" fontId="4" fillId="2" borderId="12" xfId="1" applyNumberFormat="1" applyFont="1" applyFill="1" applyBorder="1" applyAlignment="1">
      <alignment horizontal="center" vertical="center"/>
    </xf>
    <xf numFmtId="164" fontId="2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4" fillId="4" borderId="3" xfId="1" applyFont="1" applyFill="1" applyBorder="1" applyAlignment="1">
      <alignment horizontal="center" vertical="center"/>
    </xf>
    <xf numFmtId="0" fontId="2" fillId="0" borderId="0" xfId="1" applyFont="1" applyAlignment="1" applyProtection="1">
      <alignment vertical="center"/>
      <protection locked="0"/>
    </xf>
    <xf numFmtId="0" fontId="4" fillId="2" borderId="1" xfId="1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/>
    </xf>
    <xf numFmtId="2" fontId="7" fillId="0" borderId="8" xfId="1" applyNumberFormat="1" applyFont="1" applyBorder="1" applyAlignment="1">
      <alignment horizontal="center" vertical="center"/>
    </xf>
    <xf numFmtId="2" fontId="7" fillId="0" borderId="7" xfId="1" applyNumberFormat="1" applyFont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/>
    </xf>
    <xf numFmtId="0" fontId="2" fillId="7" borderId="18" xfId="1" applyFont="1" applyFill="1" applyBorder="1" applyAlignment="1" applyProtection="1">
      <alignment horizontal="center" vertical="center"/>
      <protection locked="0"/>
    </xf>
    <xf numFmtId="0" fontId="2" fillId="8" borderId="0" xfId="1" applyFont="1" applyFill="1" applyAlignment="1" applyProtection="1">
      <alignment horizontal="center" vertical="center"/>
      <protection locked="0"/>
    </xf>
    <xf numFmtId="0" fontId="2" fillId="8" borderId="0" xfId="1" applyFont="1" applyFill="1" applyAlignment="1" applyProtection="1">
      <alignment horizontal="centerContinuous" vertical="center"/>
      <protection locked="0"/>
    </xf>
    <xf numFmtId="0" fontId="2" fillId="8" borderId="0" xfId="1" applyFont="1" applyFill="1" applyAlignment="1" applyProtection="1">
      <alignment vertical="center"/>
      <protection locked="0"/>
    </xf>
    <xf numFmtId="0" fontId="2" fillId="7" borderId="0" xfId="1" applyFont="1" applyFill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vertical="center"/>
      <protection locked="0"/>
    </xf>
    <xf numFmtId="0" fontId="4" fillId="0" borderId="2" xfId="1" applyFont="1" applyBorder="1" applyAlignment="1" applyProtection="1">
      <alignment horizontal="centerContinuous" vertical="center"/>
      <protection locked="0"/>
    </xf>
    <xf numFmtId="0" fontId="4" fillId="9" borderId="1" xfId="1" applyFont="1" applyFill="1" applyBorder="1" applyAlignment="1" applyProtection="1">
      <alignment horizontal="center" vertical="center"/>
      <protection locked="0"/>
    </xf>
    <xf numFmtId="0" fontId="4" fillId="9" borderId="2" xfId="1" applyFont="1" applyFill="1" applyBorder="1" applyAlignment="1" applyProtection="1">
      <alignment horizontal="center" vertical="center"/>
      <protection locked="0"/>
    </xf>
    <xf numFmtId="0" fontId="8" fillId="5" borderId="15" xfId="0" applyFont="1" applyFill="1" applyBorder="1" applyAlignment="1">
      <alignment horizontal="center" vertical="center" wrapText="1"/>
    </xf>
    <xf numFmtId="0" fontId="4" fillId="9" borderId="8" xfId="1" applyFont="1" applyFill="1" applyBorder="1" applyAlignment="1" applyProtection="1">
      <alignment horizontal="center" vertical="center"/>
      <protection locked="0"/>
    </xf>
    <xf numFmtId="0" fontId="2" fillId="9" borderId="8" xfId="1" applyFont="1" applyFill="1" applyBorder="1" applyAlignment="1" applyProtection="1">
      <alignment horizontal="center" vertical="center"/>
      <protection locked="0"/>
    </xf>
    <xf numFmtId="0" fontId="2" fillId="9" borderId="7" xfId="1" applyFont="1" applyFill="1" applyBorder="1" applyAlignment="1" applyProtection="1">
      <alignment horizontal="center" vertical="center"/>
      <protection locked="0"/>
    </xf>
    <xf numFmtId="0" fontId="19" fillId="14" borderId="21" xfId="0" applyFont="1" applyFill="1" applyBorder="1"/>
    <xf numFmtId="0" fontId="19" fillId="14" borderId="22" xfId="0" applyFont="1" applyFill="1" applyBorder="1"/>
    <xf numFmtId="0" fontId="19" fillId="14" borderId="23" xfId="0" applyFont="1" applyFill="1" applyBorder="1"/>
    <xf numFmtId="0" fontId="19" fillId="14" borderId="24" xfId="0" applyFont="1" applyFill="1" applyBorder="1"/>
    <xf numFmtId="0" fontId="19" fillId="14" borderId="25" xfId="0" applyFont="1" applyFill="1" applyBorder="1"/>
    <xf numFmtId="0" fontId="19" fillId="14" borderId="26" xfId="0" applyFont="1" applyFill="1" applyBorder="1"/>
    <xf numFmtId="0" fontId="11" fillId="0" borderId="3" xfId="1" applyFont="1" applyBorder="1" applyAlignment="1" applyProtection="1">
      <alignment horizontal="center" vertical="center"/>
      <protection locked="0"/>
    </xf>
    <xf numFmtId="0" fontId="11" fillId="0" borderId="2" xfId="1" applyFont="1" applyBorder="1" applyAlignment="1" applyProtection="1">
      <alignment horizontal="center" vertical="center"/>
      <protection locked="0"/>
    </xf>
    <xf numFmtId="0" fontId="11" fillId="0" borderId="1" xfId="1" applyFont="1" applyBorder="1" applyAlignment="1" applyProtection="1">
      <alignment horizontal="center" vertical="center"/>
      <protection locked="0"/>
    </xf>
    <xf numFmtId="0" fontId="15" fillId="12" borderId="3" xfId="0" applyFont="1" applyFill="1" applyBorder="1" applyAlignment="1">
      <alignment horizontal="center"/>
    </xf>
    <xf numFmtId="0" fontId="15" fillId="12" borderId="2" xfId="0" applyFont="1" applyFill="1" applyBorder="1" applyAlignment="1">
      <alignment horizontal="center"/>
    </xf>
    <xf numFmtId="0" fontId="15" fillId="12" borderId="20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1" fillId="0" borderId="19" xfId="1" applyFont="1" applyBorder="1" applyAlignment="1" applyProtection="1">
      <alignment horizontal="center" vertical="center"/>
      <protection locked="0"/>
    </xf>
    <xf numFmtId="0" fontId="11" fillId="0" borderId="5" xfId="1" applyFont="1" applyBorder="1" applyAlignment="1" applyProtection="1">
      <alignment horizontal="center" vertical="center"/>
      <protection locked="0"/>
    </xf>
    <xf numFmtId="0" fontId="11" fillId="0" borderId="14" xfId="1" applyFont="1" applyBorder="1" applyAlignment="1" applyProtection="1">
      <alignment horizontal="center" vertical="center"/>
      <protection locked="0"/>
    </xf>
    <xf numFmtId="0" fontId="11" fillId="0" borderId="20" xfId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 applyProtection="1">
      <alignment horizontal="center" vertical="center"/>
      <protection locked="0"/>
    </xf>
    <xf numFmtId="164" fontId="2" fillId="0" borderId="2" xfId="1" applyNumberFormat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2" fontId="6" fillId="0" borderId="3" xfId="1" applyNumberFormat="1" applyFont="1" applyBorder="1" applyAlignment="1" applyProtection="1">
      <alignment horizontal="center" vertical="center"/>
      <protection locked="0"/>
    </xf>
    <xf numFmtId="0" fontId="2" fillId="10" borderId="3" xfId="1" applyFont="1" applyFill="1" applyBorder="1" applyAlignment="1" applyProtection="1">
      <alignment horizontal="center" vertical="center"/>
      <protection locked="0"/>
    </xf>
    <xf numFmtId="2" fontId="7" fillId="0" borderId="7" xfId="1" applyNumberFormat="1" applyFont="1" applyBorder="1" applyAlignment="1">
      <alignment horizontal="center" vertical="center"/>
    </xf>
    <xf numFmtId="2" fontId="7" fillId="0" borderId="8" xfId="1" applyNumberFormat="1" applyFont="1" applyBorder="1" applyAlignment="1">
      <alignment horizontal="center" vertical="center"/>
    </xf>
    <xf numFmtId="2" fontId="7" fillId="0" borderId="11" xfId="1" applyNumberFormat="1" applyFont="1" applyBorder="1" applyAlignment="1">
      <alignment horizontal="center" vertical="center"/>
    </xf>
    <xf numFmtId="2" fontId="7" fillId="0" borderId="10" xfId="1" applyNumberFormat="1" applyFont="1" applyBorder="1" applyAlignment="1">
      <alignment horizontal="center" vertical="center"/>
    </xf>
    <xf numFmtId="14" fontId="7" fillId="2" borderId="3" xfId="1" applyNumberFormat="1" applyFont="1" applyFill="1" applyBorder="1" applyAlignment="1">
      <alignment horizontal="center" vertical="center" wrapText="1"/>
    </xf>
    <xf numFmtId="0" fontId="2" fillId="4" borderId="3" xfId="1" applyFont="1" applyFill="1" applyBorder="1" applyAlignment="1" applyProtection="1">
      <alignment horizontal="center" vertical="center"/>
      <protection locked="0"/>
    </xf>
    <xf numFmtId="14" fontId="2" fillId="2" borderId="11" xfId="1" applyNumberFormat="1" applyFont="1" applyFill="1" applyBorder="1" applyAlignment="1">
      <alignment horizontal="center" vertical="center" wrapText="1"/>
    </xf>
    <xf numFmtId="14" fontId="2" fillId="2" borderId="7" xfId="1" applyNumberFormat="1" applyFont="1" applyFill="1" applyBorder="1" applyAlignment="1">
      <alignment horizontal="center" vertical="center" wrapText="1"/>
    </xf>
    <xf numFmtId="14" fontId="2" fillId="2" borderId="5" xfId="1" applyNumberFormat="1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1" applyFont="1" applyAlignment="1" applyProtection="1">
      <alignment horizontal="center" vertical="center"/>
      <protection locked="0"/>
    </xf>
    <xf numFmtId="0" fontId="14" fillId="11" borderId="3" xfId="1" applyFont="1" applyFill="1" applyBorder="1" applyAlignment="1" applyProtection="1">
      <alignment horizontal="center" vertical="center"/>
      <protection locked="0"/>
    </xf>
    <xf numFmtId="0" fontId="3" fillId="0" borderId="17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2" fontId="0" fillId="13" borderId="2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14" xfId="1" applyFont="1" applyBorder="1" applyAlignment="1" applyProtection="1">
      <alignment horizontal="center" vertical="center" wrapText="1"/>
      <protection locked="0"/>
    </xf>
    <xf numFmtId="0" fontId="11" fillId="0" borderId="19" xfId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44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A72"/>
  <sheetViews>
    <sheetView showGridLines="0" zoomScale="60" zoomScaleNormal="6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V45" sqref="V45"/>
    </sheetView>
  </sheetViews>
  <sheetFormatPr defaultColWidth="11.42578125" defaultRowHeight="15" x14ac:dyDescent="0.25"/>
  <cols>
    <col min="1" max="1" width="1.7109375" customWidth="1"/>
    <col min="3" max="3" width="2.28515625" customWidth="1"/>
    <col min="4" max="5" width="18.5703125" customWidth="1"/>
    <col min="6" max="11" width="21" customWidth="1"/>
    <col min="12" max="12" width="3.42578125" customWidth="1"/>
    <col min="13" max="13" width="9.7109375" customWidth="1"/>
    <col min="14" max="14" width="3.42578125" customWidth="1"/>
    <col min="15" max="18" width="21" customWidth="1"/>
    <col min="19" max="19" width="3.42578125" customWidth="1"/>
    <col min="20" max="20" width="9.7109375" customWidth="1"/>
    <col min="21" max="21" width="3.42578125" customWidth="1"/>
    <col min="22" max="25" width="21" customWidth="1"/>
    <col min="26" max="26" width="3.42578125" customWidth="1"/>
    <col min="27" max="27" width="9.7109375" customWidth="1"/>
    <col min="28" max="28" width="3.42578125" customWidth="1"/>
    <col min="29" max="39" width="21" customWidth="1"/>
  </cols>
  <sheetData>
    <row r="2" spans="2:27" ht="18" x14ac:dyDescent="0.25">
      <c r="F2" s="52" t="s">
        <v>0</v>
      </c>
      <c r="G2" s="52"/>
      <c r="H2" s="52"/>
      <c r="I2" s="52"/>
      <c r="J2" s="52"/>
      <c r="K2" s="52"/>
      <c r="O2" s="53" t="s">
        <v>1</v>
      </c>
      <c r="P2" s="54"/>
      <c r="Q2" s="54"/>
      <c r="R2" s="55"/>
      <c r="V2" s="52" t="s">
        <v>2</v>
      </c>
      <c r="W2" s="52"/>
      <c r="X2" s="52"/>
      <c r="Y2" s="52"/>
    </row>
    <row r="3" spans="2:27" ht="18" x14ac:dyDescent="0.25">
      <c r="D3" s="17"/>
      <c r="E3" s="35"/>
      <c r="F3" s="56" t="s">
        <v>3</v>
      </c>
      <c r="G3" s="56"/>
      <c r="H3" s="50" t="s">
        <v>4</v>
      </c>
      <c r="I3" s="59"/>
      <c r="J3" s="59"/>
      <c r="K3" s="51"/>
      <c r="M3" s="34" t="s">
        <v>5</v>
      </c>
      <c r="O3" s="50" t="s">
        <v>6</v>
      </c>
      <c r="P3" s="59"/>
      <c r="Q3" s="59"/>
      <c r="R3" s="51"/>
      <c r="T3" s="34" t="s">
        <v>5</v>
      </c>
      <c r="V3" s="50" t="s">
        <v>7</v>
      </c>
      <c r="W3" s="59"/>
      <c r="X3" s="59"/>
      <c r="Y3" s="51"/>
      <c r="AA3" s="34" t="s">
        <v>5</v>
      </c>
    </row>
    <row r="4" spans="2:27" ht="18" x14ac:dyDescent="0.25">
      <c r="D4" s="17"/>
      <c r="E4" s="35"/>
      <c r="F4" s="56" t="s">
        <v>8</v>
      </c>
      <c r="G4" s="56"/>
      <c r="H4" s="57" t="s">
        <v>9</v>
      </c>
      <c r="I4" s="58"/>
      <c r="J4" s="57" t="s">
        <v>10</v>
      </c>
      <c r="K4" s="58"/>
      <c r="M4" s="34"/>
      <c r="O4" s="56" t="s">
        <v>11</v>
      </c>
      <c r="P4" s="56"/>
      <c r="Q4" s="56" t="s">
        <v>12</v>
      </c>
      <c r="R4" s="56"/>
      <c r="T4" s="34"/>
      <c r="V4" s="49" t="s">
        <v>13</v>
      </c>
      <c r="W4" s="49"/>
      <c r="X4" s="50" t="s">
        <v>14</v>
      </c>
      <c r="Y4" s="51"/>
      <c r="AA4" s="34"/>
    </row>
    <row r="5" spans="2:27" ht="15.75" thickBot="1" x14ac:dyDescent="0.3">
      <c r="D5" s="33"/>
      <c r="E5" s="33"/>
      <c r="F5" s="32"/>
      <c r="G5" s="32"/>
      <c r="H5" s="31"/>
      <c r="I5" s="31"/>
      <c r="M5" s="30"/>
      <c r="O5" s="32"/>
      <c r="P5" s="32"/>
      <c r="Q5" s="32"/>
      <c r="R5" s="32"/>
      <c r="T5" s="30"/>
      <c r="V5" s="32"/>
      <c r="W5" s="32"/>
      <c r="X5" s="31"/>
      <c r="Y5" s="31"/>
      <c r="AA5" s="30"/>
    </row>
    <row r="6" spans="2:27" ht="18" thickBot="1" x14ac:dyDescent="0.3">
      <c r="B6" s="78" t="s">
        <v>15</v>
      </c>
      <c r="D6" s="69" t="s">
        <v>16</v>
      </c>
      <c r="E6" s="29" t="s">
        <v>17</v>
      </c>
      <c r="F6" s="67">
        <f t="shared" ref="F6:F11" si="0">60*F$20/((G22/F22)*(G$34/F$34))</f>
        <v>7.0389222290263325</v>
      </c>
      <c r="G6" s="68"/>
      <c r="H6" s="67">
        <f t="shared" ref="H6:H11" si="1">60*H$20/((I22/H22)*(I$34/H$34))</f>
        <v>6.4181953543776071</v>
      </c>
      <c r="I6" s="68"/>
      <c r="J6" s="67">
        <f t="shared" ref="J6:J11" si="2">60*J$20/((K22/J22)*(K$34/J$34))</f>
        <v>6.5538117927337707</v>
      </c>
      <c r="K6" s="68"/>
      <c r="M6" s="27">
        <v>270</v>
      </c>
      <c r="O6" s="67">
        <f t="shared" ref="O6:O14" si="3">60*O$20/((P22/O22)*(P$34/O$34))</f>
        <v>7.0164129918055904</v>
      </c>
      <c r="P6" s="68"/>
      <c r="Q6" s="67">
        <f t="shared" ref="Q6:Q14" si="4">60*Q$20/((R22/Q22)*(R$34/Q$34))</f>
        <v>7.1646697660927083</v>
      </c>
      <c r="R6" s="68"/>
      <c r="T6" s="27">
        <v>270</v>
      </c>
      <c r="V6" s="67">
        <f>60*V$20/((W22/V22)*(W$34/V$34)*(W$32/V$32))</f>
        <v>5.4481230102788638</v>
      </c>
      <c r="W6" s="68"/>
      <c r="X6" s="67">
        <f>60*X$20/((Y22/X22)*(Y$34/X$34)*(Y$32/X$32))</f>
        <v>5.4631800061617168</v>
      </c>
      <c r="Y6" s="68"/>
      <c r="AA6" s="27">
        <v>350</v>
      </c>
    </row>
    <row r="7" spans="2:27" ht="18" thickBot="1" x14ac:dyDescent="0.3">
      <c r="B7" s="79"/>
      <c r="D7" s="69"/>
      <c r="E7" s="25" t="s">
        <v>18</v>
      </c>
      <c r="F7" s="65">
        <f t="shared" si="0"/>
        <v>13.168510007412898</v>
      </c>
      <c r="G7" s="66"/>
      <c r="H7" s="65">
        <f t="shared" si="1"/>
        <v>12.007245854361933</v>
      </c>
      <c r="I7" s="66"/>
      <c r="J7" s="65">
        <f t="shared" si="2"/>
        <v>12.260958904109589</v>
      </c>
      <c r="K7" s="66"/>
      <c r="M7" s="28">
        <v>320</v>
      </c>
      <c r="O7" s="65">
        <f t="shared" si="3"/>
        <v>11.63559269189998</v>
      </c>
      <c r="P7" s="66"/>
      <c r="Q7" s="65">
        <f t="shared" si="4"/>
        <v>11.881452712031995</v>
      </c>
      <c r="R7" s="66"/>
      <c r="T7" s="28">
        <v>400</v>
      </c>
      <c r="V7" s="65">
        <f>60*V$20/((W23/V23)*(W$34/V$34)*(W$32/V$32))</f>
        <v>10.541685634174499</v>
      </c>
      <c r="W7" s="66"/>
      <c r="X7" s="65">
        <f>60*X$20/((Y23/X23)*(Y$34/X$34)*(Y$32/X$32))</f>
        <v>10.570819726208146</v>
      </c>
      <c r="Y7" s="66"/>
      <c r="AA7" s="28">
        <v>400</v>
      </c>
    </row>
    <row r="8" spans="2:27" ht="18" thickBot="1" x14ac:dyDescent="0.3">
      <c r="B8" s="79"/>
      <c r="D8" s="69"/>
      <c r="E8" s="25" t="s">
        <v>19</v>
      </c>
      <c r="F8" s="65">
        <f t="shared" si="0"/>
        <v>21.726197183098595</v>
      </c>
      <c r="G8" s="66"/>
      <c r="H8" s="65">
        <f t="shared" si="1"/>
        <v>19.810273972602744</v>
      </c>
      <c r="I8" s="66"/>
      <c r="J8" s="65">
        <f t="shared" si="2"/>
        <v>20.228864970645795</v>
      </c>
      <c r="K8" s="66"/>
      <c r="M8" s="27">
        <v>385</v>
      </c>
      <c r="O8" s="65">
        <f t="shared" si="3"/>
        <v>17.322343860858954</v>
      </c>
      <c r="P8" s="66"/>
      <c r="Q8" s="65">
        <f t="shared" si="4"/>
        <v>17.688364907069111</v>
      </c>
      <c r="R8" s="66"/>
      <c r="T8" s="27">
        <v>400</v>
      </c>
      <c r="V8" s="65">
        <f>60*V$20/((W24/V24)*(W$35/V$35)*(W$32/V$32))</f>
        <v>17.980801583374568</v>
      </c>
      <c r="W8" s="66"/>
      <c r="X8" s="65">
        <f>60*X$20/((Y24/X24)*(Y$35/X$35)*(Y$32/X$32))</f>
        <v>18.030495185171091</v>
      </c>
      <c r="Y8" s="66"/>
      <c r="AA8" s="27">
        <v>400</v>
      </c>
    </row>
    <row r="9" spans="2:27" ht="18" thickBot="1" x14ac:dyDescent="0.3">
      <c r="B9" s="79"/>
      <c r="D9" s="69"/>
      <c r="E9" s="25" t="s">
        <v>20</v>
      </c>
      <c r="F9" s="65">
        <f t="shared" si="0"/>
        <v>31.759347664936989</v>
      </c>
      <c r="G9" s="66"/>
      <c r="H9" s="65">
        <f t="shared" si="1"/>
        <v>28.958651766402308</v>
      </c>
      <c r="I9" s="66"/>
      <c r="J9" s="65">
        <f t="shared" si="2"/>
        <v>29.570547945205476</v>
      </c>
      <c r="K9" s="66"/>
      <c r="M9" s="28">
        <v>400</v>
      </c>
      <c r="O9" s="65">
        <f t="shared" si="3"/>
        <v>23.927897561779847</v>
      </c>
      <c r="P9" s="66"/>
      <c r="Q9" s="65">
        <f t="shared" si="4"/>
        <v>24.433493927348</v>
      </c>
      <c r="R9" s="66"/>
      <c r="T9" s="28">
        <v>440</v>
      </c>
      <c r="V9" s="65">
        <f>60*V$20/((W25/V25)*(W$35/V$35))</f>
        <v>27.714893617021275</v>
      </c>
      <c r="W9" s="66"/>
      <c r="X9" s="65">
        <f>60*X$20/((Y25/X25)*(Y$35/X$35))</f>
        <v>27.791489361702126</v>
      </c>
      <c r="Y9" s="66"/>
      <c r="AA9" s="28">
        <v>400</v>
      </c>
    </row>
    <row r="10" spans="2:27" ht="18" thickBot="1" x14ac:dyDescent="0.3">
      <c r="B10" s="79"/>
      <c r="D10" s="69"/>
      <c r="E10" s="25" t="s">
        <v>21</v>
      </c>
      <c r="F10" s="65">
        <f t="shared" si="0"/>
        <v>41.615696940262268</v>
      </c>
      <c r="G10" s="66"/>
      <c r="H10" s="65">
        <f t="shared" si="1"/>
        <v>37.94581955597544</v>
      </c>
      <c r="I10" s="66"/>
      <c r="J10" s="65">
        <f t="shared" si="2"/>
        <v>38.747614548889942</v>
      </c>
      <c r="K10" s="66"/>
      <c r="M10" s="27">
        <v>400</v>
      </c>
      <c r="O10" s="65">
        <f t="shared" si="3"/>
        <v>33.068354430379749</v>
      </c>
      <c r="P10" s="66"/>
      <c r="Q10" s="65">
        <f t="shared" si="4"/>
        <v>33.767088607594935</v>
      </c>
      <c r="R10" s="66"/>
      <c r="T10" s="27">
        <v>440</v>
      </c>
      <c r="V10" s="65">
        <f>60*V$20/((W26/V26)*(W$34/V$34)*(W$32/V$32))</f>
        <v>35.697179614052452</v>
      </c>
      <c r="W10" s="66"/>
      <c r="X10" s="65">
        <f>60*X$20/((Y26/X26)*(Y$34/X$34)*(Y$32/X$32))</f>
        <v>35.795836029383779</v>
      </c>
      <c r="Y10" s="66"/>
      <c r="AA10" s="27">
        <v>400</v>
      </c>
    </row>
    <row r="11" spans="2:27" ht="18" thickBot="1" x14ac:dyDescent="0.3">
      <c r="B11" s="79"/>
      <c r="D11" s="69"/>
      <c r="E11" s="25" t="s">
        <v>22</v>
      </c>
      <c r="F11" s="65">
        <f t="shared" si="0"/>
        <v>53.41996870109547</v>
      </c>
      <c r="G11" s="66"/>
      <c r="H11" s="65">
        <f t="shared" si="1"/>
        <v>48.709132420091336</v>
      </c>
      <c r="I11" s="66"/>
      <c r="J11" s="65">
        <f t="shared" si="2"/>
        <v>49.738356164383575</v>
      </c>
      <c r="K11" s="66"/>
      <c r="M11" s="26">
        <v>400</v>
      </c>
      <c r="O11" s="65">
        <f t="shared" si="3"/>
        <v>40.926181225717507</v>
      </c>
      <c r="P11" s="66"/>
      <c r="Q11" s="65">
        <f t="shared" si="4"/>
        <v>41.790951247023429</v>
      </c>
      <c r="R11" s="66"/>
      <c r="T11" s="28">
        <v>440</v>
      </c>
      <c r="V11" s="65">
        <f>60*V$20/((W27/V27)*(W$34/V$34)*(W$32/V$32))</f>
        <v>42.900077189510142</v>
      </c>
      <c r="W11" s="66"/>
      <c r="X11" s="65">
        <f>60*X$20/((Y27/X27)*(Y$34/X$34)*(Y$32/X$32))</f>
        <v>43.018640277090554</v>
      </c>
      <c r="Y11" s="66"/>
      <c r="AA11" s="26">
        <v>400</v>
      </c>
    </row>
    <row r="12" spans="2:27" ht="18" thickBot="1" x14ac:dyDescent="0.3">
      <c r="B12" s="79"/>
      <c r="D12" s="69"/>
      <c r="E12" s="25" t="s">
        <v>23</v>
      </c>
      <c r="F12" s="24"/>
      <c r="G12" s="23"/>
      <c r="H12" s="24"/>
      <c r="I12" s="23"/>
      <c r="J12" s="24"/>
      <c r="K12" s="23"/>
      <c r="O12" s="65">
        <f t="shared" si="3"/>
        <v>47.308089313847994</v>
      </c>
      <c r="P12" s="66"/>
      <c r="Q12" s="65">
        <f t="shared" si="4"/>
        <v>48.307709023740969</v>
      </c>
      <c r="R12" s="66"/>
      <c r="T12" s="27">
        <v>440</v>
      </c>
      <c r="V12" s="24"/>
      <c r="W12" s="23"/>
      <c r="X12" s="24"/>
      <c r="Y12" s="23"/>
    </row>
    <row r="13" spans="2:27" ht="18" thickBot="1" x14ac:dyDescent="0.3">
      <c r="B13" s="79"/>
      <c r="D13" s="69"/>
      <c r="E13" s="25" t="s">
        <v>24</v>
      </c>
      <c r="F13" s="24"/>
      <c r="G13" s="23"/>
      <c r="H13" s="24"/>
      <c r="I13" s="23"/>
      <c r="J13" s="24"/>
      <c r="K13" s="23"/>
      <c r="O13" s="65">
        <f t="shared" si="3"/>
        <v>57.014404190309911</v>
      </c>
      <c r="P13" s="66"/>
      <c r="Q13" s="65">
        <f t="shared" si="4"/>
        <v>58.219118288956786</v>
      </c>
      <c r="R13" s="66"/>
      <c r="T13" s="28">
        <v>440</v>
      </c>
      <c r="V13" s="24"/>
      <c r="W13" s="23"/>
      <c r="X13" s="24"/>
      <c r="Y13" s="23"/>
    </row>
    <row r="14" spans="2:27" ht="18" thickBot="1" x14ac:dyDescent="0.3">
      <c r="B14" s="79"/>
      <c r="D14" s="69"/>
      <c r="E14" s="25" t="s">
        <v>25</v>
      </c>
      <c r="F14" s="24"/>
      <c r="G14" s="23"/>
      <c r="H14" s="24"/>
      <c r="I14" s="23"/>
      <c r="J14" s="24"/>
      <c r="K14" s="23"/>
      <c r="O14" s="65">
        <f t="shared" si="3"/>
        <v>68.89240506329115</v>
      </c>
      <c r="P14" s="66"/>
      <c r="Q14" s="65">
        <f t="shared" si="4"/>
        <v>70.348101265822791</v>
      </c>
      <c r="R14" s="66"/>
      <c r="T14" s="39">
        <v>440</v>
      </c>
      <c r="V14" s="24"/>
      <c r="W14" s="23"/>
      <c r="X14" s="24"/>
      <c r="Y14" s="23"/>
    </row>
    <row r="15" spans="2:27" ht="15.75" thickBot="1" x14ac:dyDescent="0.3">
      <c r="B15" s="79"/>
      <c r="D15" s="69"/>
      <c r="E15" s="25"/>
      <c r="F15" s="24"/>
      <c r="G15" s="23"/>
      <c r="H15" s="24"/>
      <c r="I15" s="23"/>
      <c r="J15" s="24"/>
      <c r="K15" s="23"/>
      <c r="O15" s="24"/>
      <c r="P15" s="23"/>
      <c r="Q15" s="24"/>
      <c r="R15" s="23"/>
      <c r="V15" s="24"/>
      <c r="W15" s="23"/>
      <c r="X15" s="24"/>
      <c r="Y15" s="23"/>
    </row>
    <row r="16" spans="2:27" ht="15.75" thickBot="1" x14ac:dyDescent="0.3">
      <c r="B16" s="79"/>
      <c r="D16" s="69"/>
      <c r="E16" s="22" t="s">
        <v>26</v>
      </c>
      <c r="F16" s="65">
        <f>F7*(F33/G33)</f>
        <v>7.564888727662729</v>
      </c>
      <c r="G16" s="66"/>
      <c r="H16" s="65">
        <f>H7*(H33/I33)</f>
        <v>6.8977795333568563</v>
      </c>
      <c r="I16" s="66"/>
      <c r="J16" s="65">
        <f>J7*(J33/K33)</f>
        <v>7.0435295832118925</v>
      </c>
      <c r="K16" s="66"/>
      <c r="M16" s="21">
        <v>285</v>
      </c>
      <c r="O16" s="65" t="e">
        <f>O7*(O33/P33)</f>
        <v>#DIV/0!</v>
      </c>
      <c r="P16" s="66"/>
      <c r="Q16" s="65" t="e">
        <f>Q7*(Q33/R33)</f>
        <v>#DIV/0!</v>
      </c>
      <c r="R16" s="66"/>
      <c r="T16" s="21">
        <v>400</v>
      </c>
      <c r="V16" s="65">
        <v>5.15</v>
      </c>
      <c r="W16" s="66"/>
      <c r="X16" s="65">
        <v>5.17</v>
      </c>
      <c r="Y16" s="66"/>
      <c r="AA16" s="21">
        <v>350</v>
      </c>
    </row>
    <row r="17" spans="2:25" x14ac:dyDescent="0.25">
      <c r="B17" s="79"/>
      <c r="D17" s="69"/>
      <c r="E17" s="20" t="s">
        <v>27</v>
      </c>
      <c r="F17" s="63">
        <f>F11/F6</f>
        <v>7.58922558922559</v>
      </c>
      <c r="G17" s="63"/>
      <c r="H17" s="63">
        <f>H11/H6</f>
        <v>7.5892255892255891</v>
      </c>
      <c r="I17" s="63"/>
      <c r="J17" s="63">
        <f>J11/J6</f>
        <v>7.5892255892255909</v>
      </c>
      <c r="K17" s="63"/>
      <c r="O17" s="63">
        <f>O14/O6</f>
        <v>9.8187500000000014</v>
      </c>
      <c r="P17" s="63"/>
      <c r="Q17" s="63">
        <f>Q14/Q6</f>
        <v>9.8187500000000014</v>
      </c>
      <c r="R17" s="63"/>
      <c r="V17" s="63">
        <f>V11/V6</f>
        <v>7.8742857142857146</v>
      </c>
      <c r="W17" s="63"/>
      <c r="X17" s="63">
        <f>X11/X6</f>
        <v>7.8742857142857154</v>
      </c>
      <c r="Y17" s="63"/>
    </row>
    <row r="18" spans="2:25" x14ac:dyDescent="0.25">
      <c r="B18" s="79"/>
      <c r="D18" s="19"/>
      <c r="E18" s="17"/>
      <c r="F18" s="76"/>
      <c r="G18" s="76"/>
      <c r="H18" s="17"/>
      <c r="I18" s="17"/>
      <c r="J18" s="17"/>
      <c r="K18" s="17"/>
      <c r="O18" s="76"/>
      <c r="P18" s="76"/>
      <c r="Q18" s="76"/>
      <c r="R18" s="76"/>
      <c r="V18" s="76"/>
      <c r="W18" s="76"/>
      <c r="X18" s="17"/>
      <c r="Y18" s="17"/>
    </row>
    <row r="19" spans="2:25" x14ac:dyDescent="0.25">
      <c r="B19" s="79"/>
      <c r="D19" s="70" t="s">
        <v>28</v>
      </c>
      <c r="E19" s="18" t="s">
        <v>29</v>
      </c>
      <c r="F19" s="60" t="s">
        <v>30</v>
      </c>
      <c r="G19" s="60"/>
      <c r="H19" s="60" t="s">
        <v>30</v>
      </c>
      <c r="I19" s="60"/>
      <c r="J19" s="64" t="s">
        <v>31</v>
      </c>
      <c r="K19" s="64"/>
      <c r="O19" s="60" t="s">
        <v>30</v>
      </c>
      <c r="P19" s="60"/>
      <c r="Q19" s="64" t="s">
        <v>31</v>
      </c>
      <c r="R19" s="64"/>
      <c r="V19" s="77" t="s">
        <v>32</v>
      </c>
      <c r="W19" s="77"/>
      <c r="X19" s="60" t="s">
        <v>30</v>
      </c>
      <c r="Y19" s="60"/>
    </row>
    <row r="20" spans="2:25" x14ac:dyDescent="0.25">
      <c r="B20" s="79"/>
      <c r="D20" s="70"/>
      <c r="E20" s="18" t="s">
        <v>33</v>
      </c>
      <c r="F20" s="61">
        <v>2.177</v>
      </c>
      <c r="G20" s="62"/>
      <c r="H20" s="61">
        <v>2.177</v>
      </c>
      <c r="I20" s="62"/>
      <c r="J20" s="61">
        <v>2.2229999999999999</v>
      </c>
      <c r="K20" s="62"/>
      <c r="O20" s="61">
        <v>2.177</v>
      </c>
      <c r="P20" s="62"/>
      <c r="Q20" s="61">
        <v>2.2229999999999999</v>
      </c>
      <c r="R20" s="62"/>
      <c r="V20" s="61">
        <v>2.1709999999999998</v>
      </c>
      <c r="W20" s="62"/>
      <c r="X20" s="61">
        <v>2.177</v>
      </c>
      <c r="Y20" s="62"/>
    </row>
    <row r="21" spans="2:25" x14ac:dyDescent="0.25">
      <c r="B21" s="79"/>
      <c r="D21" s="17"/>
      <c r="E21" s="16"/>
      <c r="F21" s="15"/>
      <c r="G21" s="15"/>
      <c r="H21" s="15"/>
      <c r="I21" s="15"/>
      <c r="J21" s="15"/>
      <c r="K21" s="15"/>
      <c r="O21" s="15"/>
      <c r="P21" s="15"/>
      <c r="Q21" s="15"/>
      <c r="R21" s="15"/>
      <c r="V21" s="15"/>
      <c r="W21" s="15"/>
      <c r="X21" s="15"/>
      <c r="Y21" s="15"/>
    </row>
    <row r="22" spans="2:25" ht="16.5" x14ac:dyDescent="0.25">
      <c r="B22" s="79"/>
      <c r="D22" s="71" t="s">
        <v>34</v>
      </c>
      <c r="E22" s="14" t="s">
        <v>35</v>
      </c>
      <c r="F22" s="13">
        <v>11</v>
      </c>
      <c r="G22" s="12">
        <v>46</v>
      </c>
      <c r="H22" s="13">
        <v>11</v>
      </c>
      <c r="I22" s="12">
        <v>46</v>
      </c>
      <c r="J22" s="13">
        <v>11</v>
      </c>
      <c r="K22" s="12">
        <v>46</v>
      </c>
      <c r="O22" s="13">
        <v>1</v>
      </c>
      <c r="P22" s="12">
        <v>4.7130000000000001</v>
      </c>
      <c r="Q22" s="13">
        <v>1</v>
      </c>
      <c r="R22" s="12">
        <v>4.7130000000000001</v>
      </c>
      <c r="V22" s="13">
        <v>14</v>
      </c>
      <c r="W22" s="12">
        <v>53</v>
      </c>
      <c r="X22" s="13">
        <v>14</v>
      </c>
      <c r="Y22" s="12">
        <v>53</v>
      </c>
    </row>
    <row r="23" spans="2:25" ht="16.5" x14ac:dyDescent="0.25">
      <c r="B23" s="79"/>
      <c r="D23" s="72"/>
      <c r="E23" s="9" t="s">
        <v>36</v>
      </c>
      <c r="F23" s="11">
        <v>17</v>
      </c>
      <c r="G23" s="10">
        <v>38</v>
      </c>
      <c r="H23" s="11">
        <v>17</v>
      </c>
      <c r="I23" s="10">
        <v>38</v>
      </c>
      <c r="J23" s="11">
        <v>17</v>
      </c>
      <c r="K23" s="10">
        <v>38</v>
      </c>
      <c r="O23" s="11">
        <v>1</v>
      </c>
      <c r="P23" s="10">
        <v>2.8420000000000001</v>
      </c>
      <c r="Q23" s="11">
        <v>1</v>
      </c>
      <c r="R23" s="10">
        <v>2.8420000000000001</v>
      </c>
      <c r="V23" s="11">
        <v>23</v>
      </c>
      <c r="W23" s="10">
        <v>45</v>
      </c>
      <c r="X23" s="11">
        <v>23</v>
      </c>
      <c r="Y23" s="10">
        <v>45</v>
      </c>
    </row>
    <row r="24" spans="2:25" ht="16.5" x14ac:dyDescent="0.25">
      <c r="B24" s="79"/>
      <c r="D24" s="72"/>
      <c r="E24" s="9" t="s">
        <v>37</v>
      </c>
      <c r="F24" s="11">
        <v>31</v>
      </c>
      <c r="G24" s="10">
        <v>42</v>
      </c>
      <c r="H24" s="11">
        <v>31</v>
      </c>
      <c r="I24" s="10">
        <v>42</v>
      </c>
      <c r="J24" s="11">
        <v>31</v>
      </c>
      <c r="K24" s="10">
        <v>42</v>
      </c>
      <c r="O24" s="11">
        <v>1</v>
      </c>
      <c r="P24" s="10">
        <v>1.909</v>
      </c>
      <c r="Q24" s="11">
        <v>1</v>
      </c>
      <c r="R24" s="10">
        <v>1.909</v>
      </c>
      <c r="V24" s="11">
        <v>34</v>
      </c>
      <c r="W24" s="10">
        <v>39</v>
      </c>
      <c r="X24" s="11">
        <v>34</v>
      </c>
      <c r="Y24" s="10">
        <v>39</v>
      </c>
    </row>
    <row r="25" spans="2:25" ht="16.5" x14ac:dyDescent="0.25">
      <c r="B25" s="79"/>
      <c r="D25" s="72"/>
      <c r="E25" s="9" t="s">
        <v>38</v>
      </c>
      <c r="F25" s="11">
        <v>41</v>
      </c>
      <c r="G25" s="10">
        <v>38</v>
      </c>
      <c r="H25" s="11">
        <v>41</v>
      </c>
      <c r="I25" s="10">
        <v>38</v>
      </c>
      <c r="J25" s="11">
        <v>41</v>
      </c>
      <c r="K25" s="10">
        <v>38</v>
      </c>
      <c r="O25" s="11">
        <v>1</v>
      </c>
      <c r="P25" s="10">
        <v>1.3819999999999999</v>
      </c>
      <c r="Q25" s="11">
        <v>1</v>
      </c>
      <c r="R25" s="10">
        <v>1.3819999999999999</v>
      </c>
      <c r="V25" s="11">
        <v>1</v>
      </c>
      <c r="W25" s="10">
        <v>1</v>
      </c>
      <c r="X25" s="11">
        <v>1</v>
      </c>
      <c r="Y25" s="10">
        <v>1</v>
      </c>
    </row>
    <row r="26" spans="2:25" ht="16.5" x14ac:dyDescent="0.25">
      <c r="B26" s="79"/>
      <c r="D26" s="72"/>
      <c r="E26" s="9" t="s">
        <v>39</v>
      </c>
      <c r="F26" s="11">
        <v>41</v>
      </c>
      <c r="G26" s="10">
        <v>29</v>
      </c>
      <c r="H26" s="11">
        <v>41</v>
      </c>
      <c r="I26" s="10">
        <v>29</v>
      </c>
      <c r="J26" s="11">
        <v>41</v>
      </c>
      <c r="K26" s="10">
        <v>29</v>
      </c>
      <c r="O26" s="11">
        <v>1</v>
      </c>
      <c r="P26" s="10">
        <v>1</v>
      </c>
      <c r="Q26" s="11">
        <v>1</v>
      </c>
      <c r="R26" s="10">
        <v>1</v>
      </c>
      <c r="V26" s="11">
        <v>45</v>
      </c>
      <c r="W26" s="10">
        <v>26</v>
      </c>
      <c r="X26" s="11">
        <v>45</v>
      </c>
      <c r="Y26" s="10">
        <v>26</v>
      </c>
    </row>
    <row r="27" spans="2:25" ht="16.5" x14ac:dyDescent="0.25">
      <c r="B27" s="79"/>
      <c r="D27" s="72"/>
      <c r="E27" s="9" t="s">
        <v>40</v>
      </c>
      <c r="F27" s="8">
        <v>49</v>
      </c>
      <c r="G27" s="7">
        <v>27</v>
      </c>
      <c r="H27" s="8">
        <v>49</v>
      </c>
      <c r="I27" s="7">
        <v>27</v>
      </c>
      <c r="J27" s="8">
        <v>49</v>
      </c>
      <c r="K27" s="7">
        <v>27</v>
      </c>
      <c r="O27" s="8">
        <v>1</v>
      </c>
      <c r="P27" s="7">
        <v>0.80800000000000005</v>
      </c>
      <c r="Q27" s="8">
        <v>1</v>
      </c>
      <c r="R27" s="7">
        <v>0.80800000000000005</v>
      </c>
      <c r="V27" s="8">
        <v>52</v>
      </c>
      <c r="W27" s="7">
        <v>25</v>
      </c>
      <c r="X27" s="8">
        <v>52</v>
      </c>
      <c r="Y27" s="7">
        <v>25</v>
      </c>
    </row>
    <row r="28" spans="2:25" ht="16.5" x14ac:dyDescent="0.25">
      <c r="B28" s="79"/>
      <c r="D28" s="72"/>
      <c r="E28" s="9" t="s">
        <v>41</v>
      </c>
      <c r="F28" s="8"/>
      <c r="G28" s="7"/>
      <c r="H28" s="8"/>
      <c r="I28" s="7"/>
      <c r="J28" s="8"/>
      <c r="K28" s="7"/>
      <c r="O28" s="8">
        <v>1</v>
      </c>
      <c r="P28" s="7">
        <v>0.69899999999999995</v>
      </c>
      <c r="Q28" s="8">
        <v>1</v>
      </c>
      <c r="R28" s="7">
        <v>0.69899999999999995</v>
      </c>
      <c r="V28" s="8"/>
      <c r="W28" s="7"/>
      <c r="X28" s="8"/>
      <c r="Y28" s="7"/>
    </row>
    <row r="29" spans="2:25" ht="16.5" x14ac:dyDescent="0.25">
      <c r="B29" s="79"/>
      <c r="D29" s="72"/>
      <c r="E29" s="9" t="s">
        <v>42</v>
      </c>
      <c r="F29" s="8"/>
      <c r="G29" s="7"/>
      <c r="H29" s="8"/>
      <c r="I29" s="7"/>
      <c r="J29" s="8"/>
      <c r="K29" s="7"/>
      <c r="O29" s="8">
        <v>1</v>
      </c>
      <c r="P29" s="7">
        <v>0.57999999999999996</v>
      </c>
      <c r="Q29" s="8">
        <v>1</v>
      </c>
      <c r="R29" s="7">
        <v>0.57999999999999996</v>
      </c>
      <c r="V29" s="8"/>
      <c r="W29" s="7"/>
      <c r="X29" s="8"/>
      <c r="Y29" s="7"/>
    </row>
    <row r="30" spans="2:25" ht="16.5" x14ac:dyDescent="0.25">
      <c r="B30" s="79"/>
      <c r="D30" s="72"/>
      <c r="E30" s="9" t="s">
        <v>43</v>
      </c>
      <c r="F30" s="8"/>
      <c r="G30" s="7"/>
      <c r="H30" s="8"/>
      <c r="I30" s="7"/>
      <c r="J30" s="8"/>
      <c r="K30" s="7"/>
      <c r="O30" s="8">
        <v>1</v>
      </c>
      <c r="P30" s="7">
        <v>0.48</v>
      </c>
      <c r="Q30" s="8">
        <v>1</v>
      </c>
      <c r="R30" s="7">
        <v>0.48</v>
      </c>
      <c r="V30" s="8"/>
      <c r="W30" s="7"/>
      <c r="X30" s="8"/>
      <c r="Y30" s="7"/>
    </row>
    <row r="31" spans="2:25" x14ac:dyDescent="0.25">
      <c r="B31" s="79"/>
      <c r="D31" s="72"/>
      <c r="E31" s="9"/>
      <c r="F31" s="8"/>
      <c r="G31" s="7"/>
      <c r="H31" s="8"/>
      <c r="I31" s="7"/>
      <c r="J31" s="8"/>
      <c r="K31" s="7"/>
      <c r="O31" s="8"/>
      <c r="P31" s="7"/>
      <c r="Q31" s="8"/>
      <c r="R31" s="7"/>
      <c r="V31" s="8"/>
      <c r="W31" s="7"/>
      <c r="X31" s="8"/>
      <c r="Y31" s="7"/>
    </row>
    <row r="32" spans="2:25" x14ac:dyDescent="0.25">
      <c r="B32" s="79"/>
      <c r="D32" s="72"/>
      <c r="E32" s="9" t="s">
        <v>44</v>
      </c>
      <c r="F32" s="8"/>
      <c r="G32" s="7"/>
      <c r="H32" s="8"/>
      <c r="I32" s="7"/>
      <c r="J32" s="8"/>
      <c r="K32" s="7"/>
      <c r="O32" s="8"/>
      <c r="P32" s="7"/>
      <c r="Q32" s="8"/>
      <c r="R32" s="7"/>
      <c r="V32" s="8">
        <v>32</v>
      </c>
      <c r="W32" s="7">
        <v>43</v>
      </c>
      <c r="X32" s="8">
        <v>32</v>
      </c>
      <c r="Y32" s="7">
        <v>43</v>
      </c>
    </row>
    <row r="33" spans="2:25" x14ac:dyDescent="0.25">
      <c r="B33" s="79"/>
      <c r="D33" s="72"/>
      <c r="E33" s="9" t="s">
        <v>45</v>
      </c>
      <c r="F33" s="8">
        <v>27</v>
      </c>
      <c r="G33" s="7">
        <v>47</v>
      </c>
      <c r="H33" s="8">
        <v>27</v>
      </c>
      <c r="I33" s="7">
        <v>47</v>
      </c>
      <c r="J33" s="8">
        <v>27</v>
      </c>
      <c r="K33" s="7">
        <v>47</v>
      </c>
      <c r="O33" s="8"/>
      <c r="P33" s="7"/>
      <c r="Q33" s="8"/>
      <c r="R33" s="7"/>
      <c r="V33" s="8"/>
      <c r="W33" s="7"/>
      <c r="X33" s="8"/>
      <c r="Y33" s="7"/>
    </row>
    <row r="34" spans="2:25" x14ac:dyDescent="0.25">
      <c r="B34" s="79"/>
      <c r="D34" s="72"/>
      <c r="E34" s="6" t="s">
        <v>46</v>
      </c>
      <c r="F34" s="5">
        <v>16</v>
      </c>
      <c r="G34" s="4">
        <v>71</v>
      </c>
      <c r="H34" s="38">
        <v>15</v>
      </c>
      <c r="I34" s="37">
        <v>73</v>
      </c>
      <c r="J34" s="38">
        <v>15</v>
      </c>
      <c r="K34" s="37">
        <v>73</v>
      </c>
      <c r="O34" s="3">
        <v>1</v>
      </c>
      <c r="P34" s="2">
        <v>3.95</v>
      </c>
      <c r="Q34" s="3">
        <v>1</v>
      </c>
      <c r="R34" s="2">
        <v>3.95</v>
      </c>
      <c r="V34" s="3">
        <v>10</v>
      </c>
      <c r="W34" s="2">
        <v>47</v>
      </c>
      <c r="X34" s="3">
        <v>10</v>
      </c>
      <c r="Y34" s="2">
        <v>47</v>
      </c>
    </row>
    <row r="35" spans="2:25" ht="17.25" x14ac:dyDescent="0.25">
      <c r="B35" s="79"/>
      <c r="D35" s="73"/>
      <c r="E35" s="1" t="s">
        <v>47</v>
      </c>
      <c r="F35" s="3" t="s">
        <v>48</v>
      </c>
      <c r="G35" s="2" t="s">
        <v>48</v>
      </c>
      <c r="H35" s="3" t="s">
        <v>48</v>
      </c>
      <c r="I35" s="2" t="s">
        <v>48</v>
      </c>
      <c r="J35" s="3" t="s">
        <v>48</v>
      </c>
      <c r="K35" s="2" t="s">
        <v>48</v>
      </c>
      <c r="O35" s="36" t="s">
        <v>48</v>
      </c>
      <c r="P35" s="2" t="s">
        <v>48</v>
      </c>
      <c r="Q35" s="36" t="s">
        <v>48</v>
      </c>
      <c r="R35" s="2" t="s">
        <v>48</v>
      </c>
      <c r="V35" s="36">
        <v>10</v>
      </c>
      <c r="W35" s="2">
        <v>47</v>
      </c>
      <c r="X35" s="36">
        <v>10</v>
      </c>
      <c r="Y35" s="2">
        <v>47</v>
      </c>
    </row>
    <row r="36" spans="2:25" ht="15.75" thickBot="1" x14ac:dyDescent="0.3">
      <c r="B36" s="80"/>
      <c r="E36" s="1" t="s">
        <v>49</v>
      </c>
      <c r="F36" s="74">
        <f>G34/F34</f>
        <v>4.4375</v>
      </c>
      <c r="G36" s="75"/>
      <c r="H36" s="74">
        <f>I34/H34</f>
        <v>4.8666666666666663</v>
      </c>
      <c r="I36" s="75"/>
      <c r="J36" s="74">
        <f>K34/J34</f>
        <v>4.8666666666666663</v>
      </c>
      <c r="K36" s="75"/>
      <c r="O36" s="74">
        <f>P34/O34</f>
        <v>3.95</v>
      </c>
      <c r="P36" s="75"/>
      <c r="Q36" s="74">
        <f>R34/Q34</f>
        <v>3.95</v>
      </c>
      <c r="R36" s="75"/>
      <c r="V36" s="74">
        <f>W34/V34</f>
        <v>4.7</v>
      </c>
      <c r="W36" s="75"/>
      <c r="X36" s="74">
        <f>Y34/X34</f>
        <v>4.7</v>
      </c>
      <c r="Y36" s="75"/>
    </row>
    <row r="40" spans="2:25" ht="18" x14ac:dyDescent="0.25">
      <c r="D40" s="17"/>
      <c r="E40" s="35"/>
      <c r="F40" s="49" t="s">
        <v>50</v>
      </c>
      <c r="G40" s="49"/>
      <c r="H40" s="49" t="s">
        <v>51</v>
      </c>
      <c r="I40" s="49"/>
      <c r="M40" s="34" t="s">
        <v>5</v>
      </c>
      <c r="O40" s="50" t="s">
        <v>52</v>
      </c>
      <c r="P40" s="51"/>
    </row>
    <row r="41" spans="2:25" ht="18" x14ac:dyDescent="0.25">
      <c r="D41" s="17"/>
      <c r="E41" s="35"/>
      <c r="F41" s="49" t="s">
        <v>8</v>
      </c>
      <c r="G41" s="49"/>
      <c r="H41" s="49" t="s">
        <v>9</v>
      </c>
      <c r="I41" s="49"/>
      <c r="M41" s="34"/>
      <c r="O41" s="50"/>
      <c r="P41" s="51"/>
    </row>
    <row r="42" spans="2:25" ht="15.75" thickBot="1" x14ac:dyDescent="0.3">
      <c r="D42" s="33"/>
      <c r="E42" s="33"/>
      <c r="F42" s="32"/>
      <c r="G42" s="32"/>
      <c r="H42" s="31"/>
      <c r="I42" s="31"/>
      <c r="M42" s="30"/>
    </row>
    <row r="43" spans="2:25" ht="18" thickBot="1" x14ac:dyDescent="0.3">
      <c r="B43" s="78" t="s">
        <v>53</v>
      </c>
      <c r="D43" s="69" t="s">
        <v>16</v>
      </c>
      <c r="E43" s="29" t="s">
        <v>17</v>
      </c>
      <c r="F43" s="67">
        <f t="shared" ref="F43:F48" si="5">60*F$57/((G59/F59)*(G$70/F$70))</f>
        <v>7.3049707981829979</v>
      </c>
      <c r="G43" s="68"/>
      <c r="H43" s="67">
        <f t="shared" ref="H43:H48" si="6">60*H$57/((I59/H59)*(I$70/H$70))</f>
        <v>7.3049707981829979</v>
      </c>
      <c r="I43" s="68"/>
      <c r="M43" s="27">
        <v>270</v>
      </c>
      <c r="O43" s="67">
        <f t="shared" ref="O43:O48" si="7">60*O$57/((P59/O59)*(P$70/O$70))</f>
        <v>7.3049707981829979</v>
      </c>
      <c r="P43" s="68"/>
    </row>
    <row r="44" spans="2:25" ht="18" thickBot="1" x14ac:dyDescent="0.3">
      <c r="B44" s="79"/>
      <c r="D44" s="69"/>
      <c r="E44" s="25" t="s">
        <v>18</v>
      </c>
      <c r="F44" s="65">
        <f t="shared" si="5"/>
        <v>14.510328358208955</v>
      </c>
      <c r="G44" s="66"/>
      <c r="H44" s="65">
        <f t="shared" si="6"/>
        <v>14.510328358208955</v>
      </c>
      <c r="I44" s="66"/>
      <c r="M44" s="28">
        <v>320</v>
      </c>
      <c r="O44" s="65">
        <f t="shared" si="7"/>
        <v>14.510328358208955</v>
      </c>
      <c r="P44" s="66"/>
    </row>
    <row r="45" spans="2:25" ht="18" thickBot="1" x14ac:dyDescent="0.3">
      <c r="B45" s="79"/>
      <c r="D45" s="69"/>
      <c r="E45" s="25" t="s">
        <v>19</v>
      </c>
      <c r="F45" s="65">
        <f t="shared" si="5"/>
        <v>23.674746268656715</v>
      </c>
      <c r="G45" s="66"/>
      <c r="H45" s="65">
        <f t="shared" si="6"/>
        <v>23.674746268656715</v>
      </c>
      <c r="I45" s="66"/>
      <c r="M45" s="27">
        <v>360</v>
      </c>
      <c r="O45" s="65">
        <f t="shared" si="7"/>
        <v>23.674746268656715</v>
      </c>
      <c r="P45" s="66"/>
    </row>
    <row r="46" spans="2:25" ht="18" thickBot="1" x14ac:dyDescent="0.3">
      <c r="B46" s="79"/>
      <c r="D46" s="69"/>
      <c r="E46" s="25" t="s">
        <v>20</v>
      </c>
      <c r="F46" s="65">
        <f t="shared" si="5"/>
        <v>33.85055264219443</v>
      </c>
      <c r="G46" s="66"/>
      <c r="H46" s="65">
        <f t="shared" si="6"/>
        <v>31.311761194029852</v>
      </c>
      <c r="I46" s="66"/>
      <c r="M46" s="28"/>
      <c r="O46" s="65">
        <f t="shared" si="7"/>
        <v>33.85055264219443</v>
      </c>
      <c r="P46" s="66"/>
    </row>
    <row r="47" spans="2:25" ht="18" thickBot="1" x14ac:dyDescent="0.3">
      <c r="B47" s="79"/>
      <c r="D47" s="69"/>
      <c r="E47" s="25" t="s">
        <v>21</v>
      </c>
      <c r="F47" s="65">
        <f t="shared" si="5"/>
        <v>43.188636129696349</v>
      </c>
      <c r="G47" s="66"/>
      <c r="H47" s="65">
        <f t="shared" si="6"/>
        <v>40.402272508425618</v>
      </c>
      <c r="I47" s="66"/>
      <c r="M47" s="27"/>
      <c r="O47" s="65">
        <f t="shared" si="7"/>
        <v>43.188636129696349</v>
      </c>
      <c r="P47" s="66"/>
    </row>
    <row r="48" spans="2:25" ht="18" thickBot="1" x14ac:dyDescent="0.3">
      <c r="B48" s="79"/>
      <c r="D48" s="69"/>
      <c r="E48" s="25" t="s">
        <v>22</v>
      </c>
      <c r="F48" s="65">
        <f t="shared" si="5"/>
        <v>53.459104477611945</v>
      </c>
      <c r="G48" s="66"/>
      <c r="H48" s="65">
        <f t="shared" si="6"/>
        <v>47.858626865671638</v>
      </c>
      <c r="I48" s="66"/>
      <c r="M48" s="26"/>
      <c r="O48" s="65">
        <f t="shared" si="7"/>
        <v>53.459104477611945</v>
      </c>
      <c r="P48" s="66"/>
    </row>
    <row r="49" spans="2:16" ht="17.25" x14ac:dyDescent="0.25">
      <c r="B49" s="79"/>
      <c r="D49" s="69"/>
      <c r="E49" s="25" t="s">
        <v>23</v>
      </c>
      <c r="F49" s="24"/>
      <c r="G49" s="23"/>
      <c r="H49" s="24"/>
      <c r="I49" s="23"/>
      <c r="O49" s="24"/>
      <c r="P49" s="23"/>
    </row>
    <row r="50" spans="2:16" ht="17.25" x14ac:dyDescent="0.25">
      <c r="B50" s="79"/>
      <c r="D50" s="69"/>
      <c r="E50" s="25" t="s">
        <v>24</v>
      </c>
      <c r="F50" s="24"/>
      <c r="G50" s="23"/>
      <c r="H50" s="24"/>
      <c r="I50" s="23"/>
      <c r="O50" s="24"/>
      <c r="P50" s="23"/>
    </row>
    <row r="51" spans="2:16" ht="17.25" x14ac:dyDescent="0.25">
      <c r="B51" s="79"/>
      <c r="D51" s="69"/>
      <c r="E51" s="25" t="s">
        <v>25</v>
      </c>
      <c r="F51" s="24"/>
      <c r="G51" s="23"/>
      <c r="H51" s="24"/>
      <c r="I51" s="23"/>
      <c r="O51" s="24"/>
      <c r="P51" s="23"/>
    </row>
    <row r="52" spans="2:16" ht="15.75" thickBot="1" x14ac:dyDescent="0.3">
      <c r="B52" s="79"/>
      <c r="D52" s="69"/>
      <c r="E52" s="25"/>
      <c r="F52" s="24"/>
      <c r="G52" s="23"/>
      <c r="H52" s="24"/>
      <c r="I52" s="23"/>
      <c r="O52" s="24"/>
      <c r="P52" s="23"/>
    </row>
    <row r="53" spans="2:16" ht="15.75" thickBot="1" x14ac:dyDescent="0.3">
      <c r="B53" s="79"/>
      <c r="D53" s="69"/>
      <c r="E53" s="22" t="s">
        <v>26</v>
      </c>
      <c r="F53" s="65">
        <f>F44*(F69/G69)</f>
        <v>8.3357205462051454</v>
      </c>
      <c r="G53" s="66"/>
      <c r="H53" s="65">
        <f>H44*(H69/I69)</f>
        <v>8.3357205462051454</v>
      </c>
      <c r="I53" s="66"/>
      <c r="M53" s="21">
        <v>285</v>
      </c>
      <c r="O53" s="65">
        <f>O44*(O69/P69)</f>
        <v>8.3357205462051454</v>
      </c>
      <c r="P53" s="66"/>
    </row>
    <row r="54" spans="2:16" x14ac:dyDescent="0.25">
      <c r="B54" s="79"/>
      <c r="D54" s="69"/>
      <c r="E54" s="20" t="s">
        <v>27</v>
      </c>
      <c r="F54" s="63">
        <f>F48/F43</f>
        <v>7.3181818181818192</v>
      </c>
      <c r="G54" s="63"/>
      <c r="H54" s="63">
        <f>H48/H43</f>
        <v>6.5515151515151508</v>
      </c>
      <c r="I54" s="63"/>
      <c r="O54" s="63">
        <f>O48/O43</f>
        <v>7.3181818181818192</v>
      </c>
      <c r="P54" s="63"/>
    </row>
    <row r="55" spans="2:16" x14ac:dyDescent="0.25">
      <c r="B55" s="79"/>
      <c r="D55" s="19"/>
      <c r="E55" s="17"/>
      <c r="F55" s="76"/>
      <c r="G55" s="76"/>
      <c r="H55" s="17"/>
      <c r="I55" s="17"/>
      <c r="O55" s="17"/>
      <c r="P55" s="17"/>
    </row>
    <row r="56" spans="2:16" x14ac:dyDescent="0.25">
      <c r="B56" s="79"/>
      <c r="D56" s="70" t="s">
        <v>28</v>
      </c>
      <c r="E56" s="18" t="s">
        <v>29</v>
      </c>
      <c r="F56" s="60" t="s">
        <v>54</v>
      </c>
      <c r="G56" s="60"/>
      <c r="H56" s="60" t="s">
        <v>54</v>
      </c>
      <c r="I56" s="60"/>
      <c r="O56" s="60" t="s">
        <v>54</v>
      </c>
      <c r="P56" s="60"/>
    </row>
    <row r="57" spans="2:16" x14ac:dyDescent="0.25">
      <c r="B57" s="79"/>
      <c r="D57" s="70"/>
      <c r="E57" s="18" t="s">
        <v>55</v>
      </c>
      <c r="F57" s="61">
        <v>2.1320000000000001</v>
      </c>
      <c r="G57" s="62"/>
      <c r="H57" s="61">
        <v>2.1320000000000001</v>
      </c>
      <c r="I57" s="62"/>
      <c r="O57" s="61">
        <v>2.1320000000000001</v>
      </c>
      <c r="P57" s="62"/>
    </row>
    <row r="58" spans="2:16" x14ac:dyDescent="0.25">
      <c r="B58" s="79"/>
      <c r="D58" s="17"/>
      <c r="E58" s="16"/>
      <c r="F58" s="15"/>
      <c r="G58" s="15"/>
      <c r="H58" s="15"/>
      <c r="I58" s="15"/>
      <c r="O58" s="15"/>
      <c r="P58" s="15"/>
    </row>
    <row r="59" spans="2:16" ht="16.5" x14ac:dyDescent="0.25">
      <c r="B59" s="79"/>
      <c r="D59" s="71" t="s">
        <v>34</v>
      </c>
      <c r="E59" s="14" t="s">
        <v>35</v>
      </c>
      <c r="F59" s="13">
        <v>11</v>
      </c>
      <c r="G59" s="12">
        <v>46</v>
      </c>
      <c r="H59" s="13">
        <v>11</v>
      </c>
      <c r="I59" s="12">
        <v>46</v>
      </c>
      <c r="O59" s="13">
        <v>11</v>
      </c>
      <c r="P59" s="12">
        <v>46</v>
      </c>
    </row>
    <row r="60" spans="2:16" ht="16.5" x14ac:dyDescent="0.25">
      <c r="B60" s="79"/>
      <c r="D60" s="72"/>
      <c r="E60" s="9" t="s">
        <v>36</v>
      </c>
      <c r="F60" s="11">
        <v>19</v>
      </c>
      <c r="G60" s="10">
        <v>40</v>
      </c>
      <c r="H60" s="11">
        <v>19</v>
      </c>
      <c r="I60" s="10">
        <v>40</v>
      </c>
      <c r="O60" s="11">
        <v>19</v>
      </c>
      <c r="P60" s="10">
        <v>40</v>
      </c>
    </row>
    <row r="61" spans="2:16" ht="16.5" x14ac:dyDescent="0.25">
      <c r="B61" s="79"/>
      <c r="D61" s="72"/>
      <c r="E61" s="9" t="s">
        <v>37</v>
      </c>
      <c r="F61" s="11">
        <v>31</v>
      </c>
      <c r="G61" s="10">
        <v>40</v>
      </c>
      <c r="H61" s="11">
        <v>31</v>
      </c>
      <c r="I61" s="10">
        <v>40</v>
      </c>
      <c r="O61" s="11">
        <v>31</v>
      </c>
      <c r="P61" s="10">
        <v>40</v>
      </c>
    </row>
    <row r="62" spans="2:16" ht="16.5" x14ac:dyDescent="0.25">
      <c r="B62" s="79"/>
      <c r="D62" s="72"/>
      <c r="E62" s="9" t="s">
        <v>38</v>
      </c>
      <c r="F62" s="11">
        <v>41</v>
      </c>
      <c r="G62" s="10">
        <v>37</v>
      </c>
      <c r="H62" s="11">
        <v>41</v>
      </c>
      <c r="I62" s="40">
        <v>40</v>
      </c>
      <c r="O62" s="11">
        <v>41</v>
      </c>
      <c r="P62" s="10">
        <v>37</v>
      </c>
    </row>
    <row r="63" spans="2:16" ht="16.5" x14ac:dyDescent="0.25">
      <c r="B63" s="79"/>
      <c r="D63" s="72"/>
      <c r="E63" s="9" t="s">
        <v>39</v>
      </c>
      <c r="F63" s="11">
        <v>41</v>
      </c>
      <c r="G63" s="10">
        <v>29</v>
      </c>
      <c r="H63" s="11">
        <v>41</v>
      </c>
      <c r="I63" s="40">
        <v>31</v>
      </c>
      <c r="O63" s="11">
        <v>41</v>
      </c>
      <c r="P63" s="10">
        <v>29</v>
      </c>
    </row>
    <row r="64" spans="2:16" ht="16.5" x14ac:dyDescent="0.25">
      <c r="B64" s="79"/>
      <c r="D64" s="72"/>
      <c r="E64" s="9" t="s">
        <v>40</v>
      </c>
      <c r="F64" s="8">
        <v>49</v>
      </c>
      <c r="G64" s="7">
        <v>28</v>
      </c>
      <c r="H64" s="42">
        <v>47</v>
      </c>
      <c r="I64" s="41">
        <v>30</v>
      </c>
      <c r="O64" s="8">
        <v>49</v>
      </c>
      <c r="P64" s="7">
        <v>28</v>
      </c>
    </row>
    <row r="65" spans="2:16" ht="16.5" x14ac:dyDescent="0.25">
      <c r="B65" s="79"/>
      <c r="D65" s="72"/>
      <c r="E65" s="9" t="s">
        <v>41</v>
      </c>
      <c r="F65" s="8"/>
      <c r="G65" s="7"/>
      <c r="H65" s="8"/>
      <c r="I65" s="7"/>
      <c r="O65" s="8"/>
      <c r="P65" s="7"/>
    </row>
    <row r="66" spans="2:16" ht="16.5" x14ac:dyDescent="0.25">
      <c r="B66" s="79"/>
      <c r="D66" s="72"/>
      <c r="E66" s="9" t="s">
        <v>42</v>
      </c>
      <c r="F66" s="8"/>
      <c r="G66" s="7"/>
      <c r="H66" s="8"/>
      <c r="I66" s="7"/>
      <c r="O66" s="8"/>
      <c r="P66" s="7"/>
    </row>
    <row r="67" spans="2:16" ht="16.5" x14ac:dyDescent="0.25">
      <c r="B67" s="79"/>
      <c r="D67" s="72"/>
      <c r="E67" s="9" t="s">
        <v>43</v>
      </c>
      <c r="F67" s="8"/>
      <c r="G67" s="7"/>
      <c r="H67" s="8"/>
      <c r="I67" s="7"/>
      <c r="O67" s="8"/>
      <c r="P67" s="7"/>
    </row>
    <row r="68" spans="2:16" x14ac:dyDescent="0.25">
      <c r="B68" s="79"/>
      <c r="D68" s="72"/>
      <c r="E68" s="9"/>
      <c r="F68" s="8"/>
      <c r="G68" s="7"/>
      <c r="H68" s="8"/>
      <c r="I68" s="7"/>
      <c r="O68" s="8"/>
      <c r="P68" s="7"/>
    </row>
    <row r="69" spans="2:16" x14ac:dyDescent="0.25">
      <c r="B69" s="79"/>
      <c r="D69" s="72"/>
      <c r="E69" s="9" t="s">
        <v>45</v>
      </c>
      <c r="F69" s="8">
        <v>27</v>
      </c>
      <c r="G69" s="7">
        <v>47</v>
      </c>
      <c r="H69" s="8">
        <v>27</v>
      </c>
      <c r="I69" s="7">
        <v>47</v>
      </c>
      <c r="O69" s="8">
        <v>27</v>
      </c>
      <c r="P69" s="7">
        <v>47</v>
      </c>
    </row>
    <row r="70" spans="2:16" x14ac:dyDescent="0.25">
      <c r="B70" s="79"/>
      <c r="D70" s="72"/>
      <c r="E70" s="6" t="s">
        <v>46</v>
      </c>
      <c r="F70" s="5">
        <v>16</v>
      </c>
      <c r="G70" s="4">
        <v>67</v>
      </c>
      <c r="H70" s="5">
        <v>16</v>
      </c>
      <c r="I70" s="4">
        <v>67</v>
      </c>
      <c r="O70" s="5">
        <v>16</v>
      </c>
      <c r="P70" s="4">
        <v>67</v>
      </c>
    </row>
    <row r="71" spans="2:16" ht="17.25" x14ac:dyDescent="0.25">
      <c r="B71" s="79"/>
      <c r="D71" s="73"/>
      <c r="E71" s="1" t="s">
        <v>47</v>
      </c>
      <c r="F71" s="3" t="s">
        <v>48</v>
      </c>
      <c r="G71" s="2" t="s">
        <v>48</v>
      </c>
      <c r="H71" s="3" t="s">
        <v>48</v>
      </c>
      <c r="I71" s="2" t="s">
        <v>48</v>
      </c>
      <c r="O71" s="3" t="s">
        <v>48</v>
      </c>
      <c r="P71" s="2" t="s">
        <v>48</v>
      </c>
    </row>
    <row r="72" spans="2:16" ht="15.75" thickBot="1" x14ac:dyDescent="0.3">
      <c r="B72" s="80"/>
      <c r="E72" s="1" t="s">
        <v>49</v>
      </c>
      <c r="F72" s="74">
        <f>G70/F70</f>
        <v>4.1875</v>
      </c>
      <c r="G72" s="75"/>
      <c r="H72" s="74">
        <f>I70/H70</f>
        <v>4.1875</v>
      </c>
      <c r="I72" s="75"/>
      <c r="O72" s="74">
        <f>P70/O70</f>
        <v>4.1875</v>
      </c>
      <c r="P72" s="75"/>
    </row>
  </sheetData>
  <mergeCells count="149">
    <mergeCell ref="F47:G47"/>
    <mergeCell ref="H47:I47"/>
    <mergeCell ref="O47:P47"/>
    <mergeCell ref="F48:G48"/>
    <mergeCell ref="O56:P56"/>
    <mergeCell ref="F57:G57"/>
    <mergeCell ref="H57:I57"/>
    <mergeCell ref="O57:P57"/>
    <mergeCell ref="F53:G53"/>
    <mergeCell ref="H53:I53"/>
    <mergeCell ref="O53:P53"/>
    <mergeCell ref="F54:G54"/>
    <mergeCell ref="H54:I54"/>
    <mergeCell ref="O54:P54"/>
    <mergeCell ref="B6:B36"/>
    <mergeCell ref="D59:D71"/>
    <mergeCell ref="F72:G72"/>
    <mergeCell ref="H72:I72"/>
    <mergeCell ref="O72:P72"/>
    <mergeCell ref="B43:B72"/>
    <mergeCell ref="F55:G55"/>
    <mergeCell ref="D56:D57"/>
    <mergeCell ref="F56:G56"/>
    <mergeCell ref="H56:I56"/>
    <mergeCell ref="H44:I44"/>
    <mergeCell ref="O44:P44"/>
    <mergeCell ref="F45:G45"/>
    <mergeCell ref="H45:I45"/>
    <mergeCell ref="O45:P45"/>
    <mergeCell ref="F46:G46"/>
    <mergeCell ref="H46:I46"/>
    <mergeCell ref="O46:P46"/>
    <mergeCell ref="H48:I48"/>
    <mergeCell ref="O48:P48"/>
    <mergeCell ref="F40:G40"/>
    <mergeCell ref="H40:I40"/>
    <mergeCell ref="O40:P40"/>
    <mergeCell ref="D43:D54"/>
    <mergeCell ref="V36:W36"/>
    <mergeCell ref="F43:G43"/>
    <mergeCell ref="H43:I43"/>
    <mergeCell ref="O43:P43"/>
    <mergeCell ref="F44:G44"/>
    <mergeCell ref="Q11:R11"/>
    <mergeCell ref="Q12:R12"/>
    <mergeCell ref="Q13:R13"/>
    <mergeCell ref="Q6:R6"/>
    <mergeCell ref="Q7:R7"/>
    <mergeCell ref="Q8:R8"/>
    <mergeCell ref="Q9:R9"/>
    <mergeCell ref="O6:P6"/>
    <mergeCell ref="O7:P7"/>
    <mergeCell ref="O8:P8"/>
    <mergeCell ref="O9:P9"/>
    <mergeCell ref="Q10:R10"/>
    <mergeCell ref="Q14:R14"/>
    <mergeCell ref="Q16:R16"/>
    <mergeCell ref="Q17:R17"/>
    <mergeCell ref="Q18:R18"/>
    <mergeCell ref="Q19:R19"/>
    <mergeCell ref="Q20:R20"/>
    <mergeCell ref="J36:K36"/>
    <mergeCell ref="J11:K11"/>
    <mergeCell ref="J6:K6"/>
    <mergeCell ref="J7:K7"/>
    <mergeCell ref="J8:K8"/>
    <mergeCell ref="J9:K9"/>
    <mergeCell ref="V8:W8"/>
    <mergeCell ref="V9:W9"/>
    <mergeCell ref="V10:W10"/>
    <mergeCell ref="O19:P19"/>
    <mergeCell ref="J16:K16"/>
    <mergeCell ref="V17:W17"/>
    <mergeCell ref="V18:W18"/>
    <mergeCell ref="V19:W19"/>
    <mergeCell ref="V16:W16"/>
    <mergeCell ref="J10:K10"/>
    <mergeCell ref="O36:P36"/>
    <mergeCell ref="Q36:R36"/>
    <mergeCell ref="O10:P10"/>
    <mergeCell ref="O11:P11"/>
    <mergeCell ref="O16:P16"/>
    <mergeCell ref="O17:P17"/>
    <mergeCell ref="O18:P18"/>
    <mergeCell ref="O12:P12"/>
    <mergeCell ref="X6:Y6"/>
    <mergeCell ref="V7:W7"/>
    <mergeCell ref="X7:Y7"/>
    <mergeCell ref="X8:Y8"/>
    <mergeCell ref="X9:Y9"/>
    <mergeCell ref="X10:Y10"/>
    <mergeCell ref="X20:Y20"/>
    <mergeCell ref="O13:P13"/>
    <mergeCell ref="O14:P14"/>
    <mergeCell ref="V11:W11"/>
    <mergeCell ref="O20:P20"/>
    <mergeCell ref="X36:Y36"/>
    <mergeCell ref="X16:Y16"/>
    <mergeCell ref="X17:Y17"/>
    <mergeCell ref="X19:Y19"/>
    <mergeCell ref="V20:W20"/>
    <mergeCell ref="D6:D17"/>
    <mergeCell ref="D19:D20"/>
    <mergeCell ref="D22:D35"/>
    <mergeCell ref="H36:I36"/>
    <mergeCell ref="H6:I6"/>
    <mergeCell ref="H7:I7"/>
    <mergeCell ref="H8:I8"/>
    <mergeCell ref="H9:I9"/>
    <mergeCell ref="H10:I10"/>
    <mergeCell ref="F6:G6"/>
    <mergeCell ref="F7:G7"/>
    <mergeCell ref="F8:G8"/>
    <mergeCell ref="H16:I16"/>
    <mergeCell ref="H19:I19"/>
    <mergeCell ref="F9:G9"/>
    <mergeCell ref="H11:I11"/>
    <mergeCell ref="H17:I17"/>
    <mergeCell ref="F10:G10"/>
    <mergeCell ref="F11:G11"/>
    <mergeCell ref="F16:G16"/>
    <mergeCell ref="F36:G36"/>
    <mergeCell ref="F20:G20"/>
    <mergeCell ref="F17:G17"/>
    <mergeCell ref="F18:G18"/>
    <mergeCell ref="F41:G41"/>
    <mergeCell ref="H41:I41"/>
    <mergeCell ref="O41:P41"/>
    <mergeCell ref="F2:K2"/>
    <mergeCell ref="V2:Y2"/>
    <mergeCell ref="O2:R2"/>
    <mergeCell ref="F4:G4"/>
    <mergeCell ref="H4:I4"/>
    <mergeCell ref="J4:K4"/>
    <mergeCell ref="O4:P4"/>
    <mergeCell ref="Q4:R4"/>
    <mergeCell ref="V4:W4"/>
    <mergeCell ref="X4:Y4"/>
    <mergeCell ref="H3:K3"/>
    <mergeCell ref="O3:R3"/>
    <mergeCell ref="V3:Y3"/>
    <mergeCell ref="F3:G3"/>
    <mergeCell ref="F19:G19"/>
    <mergeCell ref="H20:I20"/>
    <mergeCell ref="J17:K17"/>
    <mergeCell ref="J19:K19"/>
    <mergeCell ref="J20:K20"/>
    <mergeCell ref="X11:Y11"/>
    <mergeCell ref="V6:W6"/>
  </mergeCells>
  <phoneticPr fontId="16" type="noConversion"/>
  <conditionalFormatting sqref="F23">
    <cfRule type="cellIs" dxfId="43" priority="17" operator="between">
      <formula>#REF!+#REF!</formula>
      <formula>#REF!</formula>
    </cfRule>
    <cfRule type="cellIs" dxfId="42" priority="18" operator="between">
      <formula>#REF!</formula>
      <formula>#REF!+#REF!</formula>
    </cfRule>
  </conditionalFormatting>
  <conditionalFormatting sqref="F60">
    <cfRule type="cellIs" dxfId="41" priority="5" operator="between">
      <formula>#REF!+#REF!</formula>
      <formula>#REF!</formula>
    </cfRule>
    <cfRule type="cellIs" dxfId="40" priority="6" operator="between">
      <formula>#REF!</formula>
      <formula>#REF!+#REF!</formula>
    </cfRule>
  </conditionalFormatting>
  <conditionalFormatting sqref="H23">
    <cfRule type="cellIs" dxfId="39" priority="19" operator="between">
      <formula>#REF!+#REF!</formula>
      <formula>#REF!</formula>
    </cfRule>
    <cfRule type="cellIs" dxfId="38" priority="20" operator="between">
      <formula>#REF!</formula>
      <formula>#REF!+#REF!</formula>
    </cfRule>
  </conditionalFormatting>
  <conditionalFormatting sqref="H60">
    <cfRule type="cellIs" dxfId="37" priority="7" operator="between">
      <formula>#REF!+#REF!</formula>
      <formula>#REF!</formula>
    </cfRule>
    <cfRule type="cellIs" dxfId="36" priority="8" operator="between">
      <formula>#REF!</formula>
      <formula>#REF!+#REF!</formula>
    </cfRule>
  </conditionalFormatting>
  <conditionalFormatting sqref="J23">
    <cfRule type="cellIs" dxfId="35" priority="15" operator="between">
      <formula>#REF!+#REF!</formula>
      <formula>#REF!</formula>
    </cfRule>
    <cfRule type="cellIs" dxfId="34" priority="16" operator="between">
      <formula>#REF!</formula>
      <formula>#REF!+#REF!</formula>
    </cfRule>
  </conditionalFormatting>
  <conditionalFormatting sqref="O23">
    <cfRule type="cellIs" dxfId="33" priority="11" operator="between">
      <formula>#REF!+#REF!</formula>
      <formula>#REF!</formula>
    </cfRule>
    <cfRule type="cellIs" dxfId="32" priority="12" operator="between">
      <formula>#REF!</formula>
      <formula>#REF!+#REF!</formula>
    </cfRule>
  </conditionalFormatting>
  <conditionalFormatting sqref="O60">
    <cfRule type="cellIs" dxfId="31" priority="3" operator="between">
      <formula>#REF!+#REF!</formula>
      <formula>#REF!</formula>
    </cfRule>
    <cfRule type="cellIs" dxfId="30" priority="4" operator="between">
      <formula>#REF!</formula>
      <formula>#REF!+#REF!</formula>
    </cfRule>
  </conditionalFormatting>
  <conditionalFormatting sqref="Q23">
    <cfRule type="cellIs" dxfId="29" priority="9" operator="between">
      <formula>#REF!+#REF!</formula>
      <formula>#REF!</formula>
    </cfRule>
    <cfRule type="cellIs" dxfId="28" priority="10" operator="between">
      <formula>#REF!</formula>
      <formula>#REF!+#REF!</formula>
    </cfRule>
  </conditionalFormatting>
  <conditionalFormatting sqref="V23">
    <cfRule type="cellIs" dxfId="27" priority="13" operator="between">
      <formula>#REF!+#REF!</formula>
      <formula>#REF!</formula>
    </cfRule>
    <cfRule type="cellIs" dxfId="26" priority="14" operator="between">
      <formula>#REF!</formula>
      <formula>#REF!+#REF!</formula>
    </cfRule>
  </conditionalFormatting>
  <conditionalFormatting sqref="X23">
    <cfRule type="cellIs" dxfId="25" priority="1" operator="between">
      <formula>#REF!+#REF!</formula>
      <formula>#REF!</formula>
    </cfRule>
    <cfRule type="cellIs" dxfId="24" priority="2" operator="between">
      <formula>#REF!</formula>
      <formula>#REF!+#REF!</formula>
    </cfRule>
  </conditionalFormatting>
  <pageMargins left="0.7" right="0.7" top="0.75" bottom="0.75" header="0.3" footer="0.3"/>
  <pageSetup paperSize="8" scale="48" orientation="landscape" r:id="rId1"/>
  <headerFooter>
    <oddFooter>&amp;R&amp;1#&amp;&amp;"Arial"&amp;10&amp;K000000Confidencial C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AA76"/>
  <sheetViews>
    <sheetView showGridLines="0" tabSelected="1" zoomScale="85" zoomScaleNormal="85" workbookViewId="0">
      <pane xSplit="5" ySplit="5" topLeftCell="F6" activePane="bottomRight" state="frozen"/>
      <selection pane="topRight" activeCell="F1" sqref="F1"/>
      <selection pane="bottomLeft" activeCell="A3" sqref="A3"/>
      <selection pane="bottomRight" activeCell="H9" sqref="H9:I9"/>
    </sheetView>
  </sheetViews>
  <sheetFormatPr defaultColWidth="11.42578125" defaultRowHeight="15" x14ac:dyDescent="0.25"/>
  <cols>
    <col min="1" max="1" width="1.7109375" customWidth="1"/>
    <col min="3" max="3" width="2.28515625" customWidth="1"/>
    <col min="4" max="4" width="18.5703125" customWidth="1"/>
    <col min="5" max="5" width="22.85546875" customWidth="1"/>
    <col min="6" max="9" width="21" customWidth="1"/>
    <col min="10" max="10" width="3.42578125" customWidth="1"/>
    <col min="11" max="11" width="9.7109375" customWidth="1"/>
    <col min="12" max="12" width="3.42578125" customWidth="1"/>
    <col min="13" max="16" width="21" customWidth="1"/>
    <col min="17" max="17" width="3.42578125" customWidth="1"/>
    <col min="18" max="18" width="9.7109375" customWidth="1"/>
    <col min="19" max="19" width="3.42578125" customWidth="1"/>
    <col min="20" max="25" width="21" customWidth="1"/>
    <col min="26" max="26" width="3.42578125" customWidth="1"/>
    <col min="27" max="27" width="9.7109375" customWidth="1"/>
    <col min="28" max="28" width="3.42578125" customWidth="1"/>
    <col min="29" max="39" width="21" customWidth="1"/>
  </cols>
  <sheetData>
    <row r="1" spans="2:27" x14ac:dyDescent="0.25">
      <c r="C1" t="s">
        <v>56</v>
      </c>
      <c r="D1" s="43" t="s">
        <v>57</v>
      </c>
      <c r="E1" s="44"/>
    </row>
    <row r="2" spans="2:27" x14ac:dyDescent="0.25">
      <c r="D2" s="45" t="s">
        <v>58</v>
      </c>
      <c r="E2" s="46"/>
    </row>
    <row r="3" spans="2:27" ht="15.75" thickBot="1" x14ac:dyDescent="0.3">
      <c r="D3" s="47" t="s">
        <v>59</v>
      </c>
      <c r="E3" s="48"/>
    </row>
    <row r="5" spans="2:27" ht="18" x14ac:dyDescent="0.25">
      <c r="F5" s="52" t="s">
        <v>0</v>
      </c>
      <c r="G5" s="52"/>
      <c r="H5" s="52"/>
      <c r="I5" s="52"/>
      <c r="M5" s="52" t="s">
        <v>1</v>
      </c>
      <c r="N5" s="52"/>
      <c r="O5" s="52"/>
      <c r="P5" s="52"/>
      <c r="T5" s="52" t="s">
        <v>2</v>
      </c>
      <c r="U5" s="52"/>
      <c r="V5" s="52"/>
      <c r="W5" s="52"/>
      <c r="X5" s="52"/>
      <c r="Y5" s="52"/>
    </row>
    <row r="6" spans="2:27" ht="18" x14ac:dyDescent="0.25">
      <c r="D6" s="17"/>
      <c r="E6" s="35"/>
      <c r="F6" s="49" t="s">
        <v>60</v>
      </c>
      <c r="G6" s="49"/>
      <c r="H6" s="49"/>
      <c r="I6" s="49"/>
      <c r="K6" s="34" t="s">
        <v>5</v>
      </c>
      <c r="M6" s="50" t="s">
        <v>6</v>
      </c>
      <c r="N6" s="59"/>
      <c r="O6" s="59"/>
      <c r="P6" s="59"/>
      <c r="R6" s="34" t="s">
        <v>5</v>
      </c>
      <c r="T6" s="49" t="s">
        <v>7</v>
      </c>
      <c r="U6" s="49"/>
      <c r="V6" s="49"/>
      <c r="W6" s="49"/>
      <c r="X6" s="49"/>
      <c r="Y6" s="49"/>
      <c r="AA6" s="34" t="s">
        <v>5</v>
      </c>
    </row>
    <row r="7" spans="2:27" ht="75" customHeight="1" x14ac:dyDescent="0.25">
      <c r="D7" s="17"/>
      <c r="E7" s="35"/>
      <c r="F7" s="56" t="s">
        <v>61</v>
      </c>
      <c r="G7" s="56"/>
      <c r="H7" s="84" t="s">
        <v>62</v>
      </c>
      <c r="I7" s="85"/>
      <c r="K7" s="34"/>
      <c r="M7" s="56" t="s">
        <v>11</v>
      </c>
      <c r="N7" s="56"/>
      <c r="O7" s="86" t="s">
        <v>63</v>
      </c>
      <c r="P7" s="56"/>
      <c r="R7" s="34"/>
      <c r="T7" s="81" t="s">
        <v>64</v>
      </c>
      <c r="U7" s="49"/>
      <c r="V7" s="81" t="s">
        <v>65</v>
      </c>
      <c r="W7" s="49"/>
      <c r="X7" s="81" t="s">
        <v>66</v>
      </c>
      <c r="Y7" s="49"/>
      <c r="AA7" s="34"/>
    </row>
    <row r="8" spans="2:27" ht="15.75" thickBot="1" x14ac:dyDescent="0.3">
      <c r="D8" s="33"/>
      <c r="E8" s="33"/>
      <c r="F8" s="32"/>
      <c r="G8" s="32"/>
      <c r="H8" s="31"/>
      <c r="I8" s="31"/>
      <c r="K8" s="30"/>
      <c r="M8" s="32"/>
      <c r="N8" s="32"/>
      <c r="O8" s="32"/>
      <c r="P8" s="32"/>
      <c r="R8" s="30"/>
      <c r="T8" s="32"/>
      <c r="U8" s="32"/>
      <c r="V8" s="32"/>
      <c r="W8" s="32"/>
      <c r="X8" s="31"/>
      <c r="Y8" s="31"/>
      <c r="AA8" s="30"/>
    </row>
    <row r="9" spans="2:27" ht="18" thickBot="1" x14ac:dyDescent="0.3">
      <c r="B9" s="78" t="s">
        <v>67</v>
      </c>
      <c r="D9" s="69" t="s">
        <v>16</v>
      </c>
      <c r="E9" s="29" t="s">
        <v>17</v>
      </c>
      <c r="F9" s="67">
        <f t="shared" ref="F9:F14" si="0">60*F$23/((G25/F25)*(G$37/F$37))</f>
        <v>6.4181953543776071</v>
      </c>
      <c r="G9" s="68"/>
      <c r="H9" s="67">
        <f t="shared" ref="H9:H14" si="1">60*H$23/((I25/H25)*(I$37/H$37))</f>
        <v>6.5538117927337707</v>
      </c>
      <c r="I9" s="68"/>
      <c r="K9" s="27">
        <v>232</v>
      </c>
      <c r="M9" s="67">
        <f t="shared" ref="M9:M17" si="2">60*M$23/((N25/M25)*(N$37/M$37))</f>
        <v>7.0164129918055904</v>
      </c>
      <c r="N9" s="68"/>
      <c r="O9" s="67">
        <f t="shared" ref="O9:O17" si="3">60*O$23/((P25/O25)*(P$37/O$37))</f>
        <v>7.1646697660927083</v>
      </c>
      <c r="P9" s="68"/>
      <c r="R9" s="27">
        <v>270</v>
      </c>
      <c r="T9" s="67">
        <f>60*T$23/((U25/T25)*(U$37/T$37)*(U$35/T$35))</f>
        <v>5.4481230102788638</v>
      </c>
      <c r="U9" s="68"/>
      <c r="V9" s="67">
        <f>60*V$23/((W25/V25)*(W$37/V$37)*(W$35/V$35))</f>
        <v>5.4631800061617168</v>
      </c>
      <c r="W9" s="68"/>
      <c r="X9" s="67">
        <f>60*X$23/((Y25/X25)*(Y$37/X$37)*(Y$35/X$35))</f>
        <v>5.034695299796093</v>
      </c>
      <c r="Y9" s="68"/>
      <c r="AA9" s="27">
        <v>350</v>
      </c>
    </row>
    <row r="10" spans="2:27" ht="18" thickBot="1" x14ac:dyDescent="0.3">
      <c r="B10" s="79"/>
      <c r="D10" s="69"/>
      <c r="E10" s="25" t="s">
        <v>18</v>
      </c>
      <c r="F10" s="65">
        <f t="shared" si="0"/>
        <v>12.748869863013702</v>
      </c>
      <c r="G10" s="66"/>
      <c r="H10" s="65">
        <f t="shared" si="1"/>
        <v>13.018253424657535</v>
      </c>
      <c r="I10" s="66"/>
      <c r="K10" s="28">
        <v>320</v>
      </c>
      <c r="M10" s="65">
        <f t="shared" si="2"/>
        <v>11.63559269189998</v>
      </c>
      <c r="N10" s="66"/>
      <c r="O10" s="65">
        <f t="shared" si="3"/>
        <v>11.881452712031995</v>
      </c>
      <c r="P10" s="66"/>
      <c r="R10" s="28">
        <v>400</v>
      </c>
      <c r="T10" s="65">
        <f>60*T$23/((U26/T26)*(U$37/T$37)*(U$35/T$35))</f>
        <v>10.541685634174499</v>
      </c>
      <c r="U10" s="66"/>
      <c r="V10" s="65">
        <f>60*V$23/((W26/V26)*(W$37/V$37)*(W$35/V$35))</f>
        <v>10.570819726208146</v>
      </c>
      <c r="W10" s="66"/>
      <c r="X10" s="65">
        <f>60*X$23/((Y26/X26)*(Y$37/X$37)*(Y$35/X$35))</f>
        <v>9.7417358261133913</v>
      </c>
      <c r="Y10" s="66"/>
      <c r="AA10" s="28">
        <v>400</v>
      </c>
    </row>
    <row r="11" spans="2:27" ht="18" thickBot="1" x14ac:dyDescent="0.3">
      <c r="B11" s="79"/>
      <c r="D11" s="69"/>
      <c r="E11" s="25" t="s">
        <v>19</v>
      </c>
      <c r="F11" s="65">
        <f t="shared" si="0"/>
        <v>20.800787671232882</v>
      </c>
      <c r="G11" s="66"/>
      <c r="H11" s="65">
        <f t="shared" si="1"/>
        <v>21.240308219178086</v>
      </c>
      <c r="I11" s="66"/>
      <c r="K11" s="27">
        <v>380</v>
      </c>
      <c r="M11" s="65">
        <f t="shared" si="2"/>
        <v>17.322343860858954</v>
      </c>
      <c r="N11" s="66"/>
      <c r="O11" s="65">
        <f t="shared" si="3"/>
        <v>17.688364907069111</v>
      </c>
      <c r="P11" s="66"/>
      <c r="R11" s="27">
        <v>400</v>
      </c>
      <c r="T11" s="65">
        <f>60*T$23/((U27/T27)*(U$38/T$38)*(U$35/T$35))</f>
        <v>17.980801583374568</v>
      </c>
      <c r="U11" s="66"/>
      <c r="V11" s="65">
        <f>60*V$23/((W27/V27)*(W$38/V$38)*(W$35/V$35))</f>
        <v>18.030495185171091</v>
      </c>
      <c r="W11" s="66"/>
      <c r="X11" s="65">
        <f>60*X$23/((Y27/X27)*(Y$38/X$38)*(Y$35/X$35))</f>
        <v>16.616338700059632</v>
      </c>
      <c r="Y11" s="66"/>
      <c r="AA11" s="27">
        <v>400</v>
      </c>
    </row>
    <row r="12" spans="2:27" ht="18" thickBot="1" x14ac:dyDescent="0.3">
      <c r="B12" s="79"/>
      <c r="D12" s="69"/>
      <c r="E12" s="25" t="s">
        <v>20</v>
      </c>
      <c r="F12" s="65">
        <f t="shared" si="0"/>
        <v>30.194691780821923</v>
      </c>
      <c r="G12" s="66"/>
      <c r="H12" s="65">
        <f t="shared" si="1"/>
        <v>30.832705479452059</v>
      </c>
      <c r="I12" s="66"/>
      <c r="K12" s="28">
        <v>380</v>
      </c>
      <c r="M12" s="65">
        <f t="shared" si="2"/>
        <v>23.927897561779847</v>
      </c>
      <c r="N12" s="66"/>
      <c r="O12" s="65">
        <f t="shared" si="3"/>
        <v>24.433493927348</v>
      </c>
      <c r="P12" s="66"/>
      <c r="R12" s="28"/>
      <c r="T12" s="65">
        <f>60*T$23/((U28/T28)*(U$38/T$38))</f>
        <v>27.714893617021275</v>
      </c>
      <c r="U12" s="66"/>
      <c r="V12" s="65">
        <f>60*V$23/((W28/V28)*(W$38/V$38))</f>
        <v>27.791489361702126</v>
      </c>
      <c r="W12" s="66"/>
      <c r="X12" s="65">
        <f>60*X$23/((Y28/X28)*(Y$38/X$38))</f>
        <v>25.611764705882354</v>
      </c>
      <c r="Y12" s="66"/>
      <c r="AA12" s="28">
        <v>400</v>
      </c>
    </row>
    <row r="13" spans="2:27" ht="18" thickBot="1" x14ac:dyDescent="0.3">
      <c r="B13" s="79"/>
      <c r="D13" s="69"/>
      <c r="E13" s="25" t="s">
        <v>21</v>
      </c>
      <c r="F13" s="65">
        <f t="shared" si="0"/>
        <v>38.960892620415379</v>
      </c>
      <c r="G13" s="66"/>
      <c r="H13" s="65">
        <f t="shared" si="1"/>
        <v>39.784136102518779</v>
      </c>
      <c r="I13" s="66"/>
      <c r="K13" s="27">
        <v>380</v>
      </c>
      <c r="M13" s="65">
        <f t="shared" si="2"/>
        <v>33.068354430379749</v>
      </c>
      <c r="N13" s="66"/>
      <c r="O13" s="65">
        <f t="shared" si="3"/>
        <v>33.767088607594935</v>
      </c>
      <c r="P13" s="66"/>
      <c r="R13" s="27"/>
      <c r="T13" s="65">
        <f>60*T$23/((U29/T29)*(U$37/T$37)*(U$35/T$35))</f>
        <v>35.697179614052452</v>
      </c>
      <c r="U13" s="66"/>
      <c r="V13" s="65">
        <f>60*V$23/((W29/V29)*(W$37/V$37)*(W$35/V$35))</f>
        <v>35.795836029383779</v>
      </c>
      <c r="W13" s="66"/>
      <c r="X13" s="65">
        <f>60*X$23/((Y29/X29)*(Y$37/X$37)*(Y$35/X$35))</f>
        <v>32.988319478059566</v>
      </c>
      <c r="Y13" s="66"/>
      <c r="AA13" s="27">
        <v>400</v>
      </c>
    </row>
    <row r="14" spans="2:27" ht="18" thickBot="1" x14ac:dyDescent="0.3">
      <c r="B14" s="79"/>
      <c r="D14" s="69"/>
      <c r="E14" s="25" t="s">
        <v>22</v>
      </c>
      <c r="F14" s="65">
        <f t="shared" si="0"/>
        <v>48.709132420091336</v>
      </c>
      <c r="G14" s="66"/>
      <c r="H14" s="65">
        <f t="shared" si="1"/>
        <v>49.738356164383575</v>
      </c>
      <c r="I14" s="66"/>
      <c r="K14" s="26">
        <v>380</v>
      </c>
      <c r="M14" s="65">
        <f t="shared" si="2"/>
        <v>40.926181225717507</v>
      </c>
      <c r="N14" s="66"/>
      <c r="O14" s="65">
        <f t="shared" si="3"/>
        <v>41.790951247023429</v>
      </c>
      <c r="P14" s="66"/>
      <c r="R14" s="28"/>
      <c r="T14" s="65">
        <f>60*T$23/((U30/T30)*(U$37/T$37)*(U$35/T$35))</f>
        <v>42.900077189510142</v>
      </c>
      <c r="U14" s="66"/>
      <c r="V14" s="65">
        <f>60*V$23/((W30/V30)*(W$37/V$37)*(W$35/V$35))</f>
        <v>43.018640277090554</v>
      </c>
      <c r="W14" s="66"/>
      <c r="X14" s="65">
        <f>60*X$23/((Y30/X30)*(Y$37/X$37)*(Y$35/X$35))</f>
        <v>39.644629274965808</v>
      </c>
      <c r="Y14" s="66"/>
      <c r="AA14" s="26">
        <v>400</v>
      </c>
    </row>
    <row r="15" spans="2:27" ht="18" thickBot="1" x14ac:dyDescent="0.3">
      <c r="B15" s="79"/>
      <c r="D15" s="69"/>
      <c r="E15" s="25" t="s">
        <v>23</v>
      </c>
      <c r="F15" s="24"/>
      <c r="G15" s="23"/>
      <c r="H15" s="24"/>
      <c r="I15" s="23"/>
      <c r="M15" s="65">
        <f t="shared" si="2"/>
        <v>47.308089313847994</v>
      </c>
      <c r="N15" s="66"/>
      <c r="O15" s="65">
        <f t="shared" si="3"/>
        <v>48.307709023740969</v>
      </c>
      <c r="P15" s="66"/>
      <c r="R15" s="27"/>
      <c r="T15" s="24"/>
      <c r="U15" s="23"/>
      <c r="V15" s="24"/>
      <c r="W15" s="23"/>
      <c r="X15" s="24"/>
      <c r="Y15" s="23"/>
    </row>
    <row r="16" spans="2:27" ht="18" thickBot="1" x14ac:dyDescent="0.3">
      <c r="B16" s="79"/>
      <c r="D16" s="69"/>
      <c r="E16" s="25" t="s">
        <v>24</v>
      </c>
      <c r="F16" s="24"/>
      <c r="G16" s="23"/>
      <c r="H16" s="24"/>
      <c r="I16" s="23"/>
      <c r="M16" s="65">
        <f t="shared" si="2"/>
        <v>57.014404190309911</v>
      </c>
      <c r="N16" s="66"/>
      <c r="O16" s="65">
        <f t="shared" si="3"/>
        <v>58.219118288956786</v>
      </c>
      <c r="P16" s="66"/>
      <c r="R16" s="28"/>
      <c r="T16" s="24"/>
      <c r="U16" s="23"/>
      <c r="V16" s="24"/>
      <c r="W16" s="23"/>
      <c r="X16" s="24"/>
      <c r="Y16" s="23"/>
    </row>
    <row r="17" spans="2:27" ht="18" thickBot="1" x14ac:dyDescent="0.3">
      <c r="B17" s="79"/>
      <c r="D17" s="69"/>
      <c r="E17" s="25" t="s">
        <v>25</v>
      </c>
      <c r="F17" s="24"/>
      <c r="G17" s="23"/>
      <c r="H17" s="24"/>
      <c r="I17" s="23"/>
      <c r="M17" s="65">
        <f t="shared" si="2"/>
        <v>68.89240506329115</v>
      </c>
      <c r="N17" s="66"/>
      <c r="O17" s="65">
        <f t="shared" si="3"/>
        <v>70.348101265822791</v>
      </c>
      <c r="P17" s="66"/>
      <c r="R17" s="39"/>
      <c r="T17" s="24"/>
      <c r="U17" s="23"/>
      <c r="V17" s="24"/>
      <c r="W17" s="23"/>
      <c r="X17" s="24"/>
      <c r="Y17" s="23"/>
    </row>
    <row r="18" spans="2:27" ht="15.75" thickBot="1" x14ac:dyDescent="0.3">
      <c r="B18" s="79"/>
      <c r="D18" s="69"/>
      <c r="E18" s="25"/>
      <c r="F18" s="24"/>
      <c r="G18" s="23"/>
      <c r="H18" s="24"/>
      <c r="I18" s="23"/>
      <c r="M18" s="24"/>
      <c r="N18" s="23"/>
      <c r="O18" s="24"/>
      <c r="P18" s="23"/>
      <c r="T18" s="24"/>
      <c r="U18" s="23"/>
      <c r="V18" s="24"/>
      <c r="W18" s="23"/>
      <c r="X18" s="24"/>
      <c r="Y18" s="23"/>
    </row>
    <row r="19" spans="2:27" ht="15.75" thickBot="1" x14ac:dyDescent="0.3">
      <c r="B19" s="79"/>
      <c r="D19" s="69"/>
      <c r="E19" s="22" t="s">
        <v>26</v>
      </c>
      <c r="F19" s="65">
        <f>F10*(F36/G36)</f>
        <v>7.3238188574759571</v>
      </c>
      <c r="G19" s="66"/>
      <c r="H19" s="65">
        <f>H10*(H36/I36)</f>
        <v>7.4785711162926276</v>
      </c>
      <c r="I19" s="66"/>
      <c r="K19" s="21">
        <v>285</v>
      </c>
      <c r="M19" s="65" t="e">
        <f>M10*(M36/N36)</f>
        <v>#DIV/0!</v>
      </c>
      <c r="N19" s="66"/>
      <c r="O19" s="65" t="e">
        <f>O10*(O36/P36)</f>
        <v>#DIV/0!</v>
      </c>
      <c r="P19" s="66"/>
      <c r="R19" s="21">
        <v>400</v>
      </c>
      <c r="T19" s="65">
        <v>5.15</v>
      </c>
      <c r="U19" s="66"/>
      <c r="V19" s="65">
        <v>5.15</v>
      </c>
      <c r="W19" s="66"/>
      <c r="X19" s="65">
        <v>5.17</v>
      </c>
      <c r="Y19" s="66"/>
      <c r="AA19" s="21">
        <v>350</v>
      </c>
    </row>
    <row r="20" spans="2:27" x14ac:dyDescent="0.25">
      <c r="B20" s="79"/>
      <c r="D20" s="69"/>
      <c r="E20" s="20" t="s">
        <v>27</v>
      </c>
      <c r="F20" s="63">
        <f>F14/F9</f>
        <v>7.5892255892255891</v>
      </c>
      <c r="G20" s="63"/>
      <c r="H20" s="63">
        <f>H14/H9</f>
        <v>7.5892255892255909</v>
      </c>
      <c r="I20" s="63"/>
      <c r="M20" s="63">
        <f>M17/M9</f>
        <v>9.8187500000000014</v>
      </c>
      <c r="N20" s="63"/>
      <c r="O20" s="63">
        <f>O17/O9</f>
        <v>9.8187500000000014</v>
      </c>
      <c r="P20" s="63"/>
      <c r="T20" s="63">
        <f>T14/T9</f>
        <v>7.8742857142857146</v>
      </c>
      <c r="U20" s="63"/>
      <c r="V20" s="63">
        <f>V14/V9</f>
        <v>7.8742857142857154</v>
      </c>
      <c r="W20" s="63"/>
      <c r="X20" s="63">
        <f>X14/X9</f>
        <v>7.8742857142857146</v>
      </c>
      <c r="Y20" s="63"/>
    </row>
    <row r="21" spans="2:27" x14ac:dyDescent="0.25">
      <c r="B21" s="79"/>
      <c r="D21" s="19"/>
      <c r="E21" s="17"/>
      <c r="F21" s="76"/>
      <c r="G21" s="76"/>
      <c r="H21" s="17"/>
      <c r="I21" s="17"/>
      <c r="M21" s="76"/>
      <c r="N21" s="76"/>
      <c r="O21" s="76"/>
      <c r="P21" s="76"/>
      <c r="T21" s="76"/>
      <c r="U21" s="76"/>
      <c r="V21" s="76"/>
      <c r="W21" s="76"/>
      <c r="X21" s="17"/>
      <c r="Y21" s="17"/>
    </row>
    <row r="22" spans="2:27" x14ac:dyDescent="0.25">
      <c r="B22" s="79"/>
      <c r="D22" s="70" t="s">
        <v>28</v>
      </c>
      <c r="E22" s="18" t="s">
        <v>29</v>
      </c>
      <c r="F22" s="60" t="s">
        <v>30</v>
      </c>
      <c r="G22" s="60"/>
      <c r="H22" s="64" t="s">
        <v>31</v>
      </c>
      <c r="I22" s="64"/>
      <c r="M22" s="60" t="s">
        <v>30</v>
      </c>
      <c r="N22" s="60"/>
      <c r="O22" s="64" t="s">
        <v>31</v>
      </c>
      <c r="P22" s="64"/>
      <c r="T22" s="77" t="s">
        <v>32</v>
      </c>
      <c r="U22" s="77"/>
      <c r="V22" s="60" t="s">
        <v>30</v>
      </c>
      <c r="W22" s="60"/>
      <c r="X22" s="60" t="s">
        <v>30</v>
      </c>
      <c r="Y22" s="60"/>
    </row>
    <row r="23" spans="2:27" x14ac:dyDescent="0.25">
      <c r="B23" s="79"/>
      <c r="D23" s="70"/>
      <c r="E23" s="18" t="s">
        <v>33</v>
      </c>
      <c r="F23" s="61">
        <v>2.177</v>
      </c>
      <c r="G23" s="62"/>
      <c r="H23" s="61">
        <v>2.2229999999999999</v>
      </c>
      <c r="I23" s="62"/>
      <c r="M23" s="61">
        <v>2.177</v>
      </c>
      <c r="N23" s="62"/>
      <c r="O23" s="61">
        <v>2.2229999999999999</v>
      </c>
      <c r="P23" s="62"/>
      <c r="T23" s="61">
        <v>2.1709999999999998</v>
      </c>
      <c r="U23" s="62"/>
      <c r="V23" s="61">
        <v>2.177</v>
      </c>
      <c r="W23" s="62"/>
      <c r="X23" s="61">
        <v>2.177</v>
      </c>
      <c r="Y23" s="62"/>
    </row>
    <row r="24" spans="2:27" x14ac:dyDescent="0.25">
      <c r="B24" s="79"/>
      <c r="D24" s="17"/>
      <c r="E24" s="16"/>
      <c r="F24" s="15"/>
      <c r="G24" s="15"/>
      <c r="H24" s="15"/>
      <c r="I24" s="15"/>
      <c r="M24" s="15"/>
      <c r="N24" s="15"/>
      <c r="O24" s="15"/>
      <c r="P24" s="15"/>
      <c r="T24" s="15"/>
      <c r="U24" s="15"/>
      <c r="V24" s="15"/>
      <c r="W24" s="15"/>
      <c r="X24" s="15"/>
      <c r="Y24" s="15"/>
    </row>
    <row r="25" spans="2:27" ht="16.5" x14ac:dyDescent="0.25">
      <c r="B25" s="79"/>
      <c r="D25" s="71" t="s">
        <v>34</v>
      </c>
      <c r="E25" s="14" t="s">
        <v>35</v>
      </c>
      <c r="F25" s="13">
        <v>11</v>
      </c>
      <c r="G25" s="12">
        <v>46</v>
      </c>
      <c r="H25" s="13">
        <v>11</v>
      </c>
      <c r="I25" s="12">
        <v>46</v>
      </c>
      <c r="M25" s="13">
        <v>1</v>
      </c>
      <c r="N25" s="12">
        <v>4.7130000000000001</v>
      </c>
      <c r="O25" s="13">
        <v>1</v>
      </c>
      <c r="P25" s="12">
        <v>4.7130000000000001</v>
      </c>
      <c r="T25" s="13">
        <v>14</v>
      </c>
      <c r="U25" s="12">
        <v>53</v>
      </c>
      <c r="V25" s="13">
        <v>14</v>
      </c>
      <c r="W25" s="12">
        <v>53</v>
      </c>
      <c r="X25" s="13">
        <v>14</v>
      </c>
      <c r="Y25" s="12">
        <v>53</v>
      </c>
    </row>
    <row r="26" spans="2:27" ht="16.5" x14ac:dyDescent="0.25">
      <c r="B26" s="79"/>
      <c r="D26" s="72"/>
      <c r="E26" s="9" t="s">
        <v>36</v>
      </c>
      <c r="F26" s="11">
        <v>19</v>
      </c>
      <c r="G26" s="10">
        <v>40</v>
      </c>
      <c r="H26" s="11">
        <v>19</v>
      </c>
      <c r="I26" s="10">
        <v>40</v>
      </c>
      <c r="M26" s="11">
        <v>1</v>
      </c>
      <c r="N26" s="10">
        <v>2.8420000000000001</v>
      </c>
      <c r="O26" s="11">
        <v>1</v>
      </c>
      <c r="P26" s="10">
        <v>2.8420000000000001</v>
      </c>
      <c r="T26" s="11">
        <v>23</v>
      </c>
      <c r="U26" s="10">
        <v>45</v>
      </c>
      <c r="V26" s="11">
        <v>23</v>
      </c>
      <c r="W26" s="10">
        <v>45</v>
      </c>
      <c r="X26" s="11">
        <v>23</v>
      </c>
      <c r="Y26" s="10">
        <v>45</v>
      </c>
    </row>
    <row r="27" spans="2:27" ht="16.5" x14ac:dyDescent="0.25">
      <c r="B27" s="79"/>
      <c r="D27" s="72"/>
      <c r="E27" s="9" t="s">
        <v>37</v>
      </c>
      <c r="F27" s="11">
        <v>31</v>
      </c>
      <c r="G27" s="10">
        <v>40</v>
      </c>
      <c r="H27" s="11">
        <v>31</v>
      </c>
      <c r="I27" s="10">
        <v>40</v>
      </c>
      <c r="M27" s="11">
        <v>1</v>
      </c>
      <c r="N27" s="10">
        <v>1.909</v>
      </c>
      <c r="O27" s="11">
        <v>1</v>
      </c>
      <c r="P27" s="10">
        <v>1.909</v>
      </c>
      <c r="T27" s="11">
        <v>34</v>
      </c>
      <c r="U27" s="10">
        <v>39</v>
      </c>
      <c r="V27" s="11">
        <v>34</v>
      </c>
      <c r="W27" s="10">
        <v>39</v>
      </c>
      <c r="X27" s="11">
        <v>34</v>
      </c>
      <c r="Y27" s="10">
        <v>39</v>
      </c>
    </row>
    <row r="28" spans="2:27" ht="16.5" x14ac:dyDescent="0.25">
      <c r="B28" s="79"/>
      <c r="D28" s="72"/>
      <c r="E28" s="9" t="s">
        <v>38</v>
      </c>
      <c r="F28" s="11">
        <v>45</v>
      </c>
      <c r="G28" s="10">
        <v>40</v>
      </c>
      <c r="H28" s="11">
        <v>45</v>
      </c>
      <c r="I28" s="10">
        <v>40</v>
      </c>
      <c r="M28" s="11">
        <v>1</v>
      </c>
      <c r="N28" s="10">
        <v>1.3819999999999999</v>
      </c>
      <c r="O28" s="11">
        <v>1</v>
      </c>
      <c r="P28" s="10">
        <v>1.3819999999999999</v>
      </c>
      <c r="T28" s="11">
        <v>1</v>
      </c>
      <c r="U28" s="10">
        <v>1</v>
      </c>
      <c r="V28" s="11">
        <v>1</v>
      </c>
      <c r="W28" s="10">
        <v>1</v>
      </c>
      <c r="X28" s="11">
        <v>1</v>
      </c>
      <c r="Y28" s="10">
        <v>1</v>
      </c>
    </row>
    <row r="29" spans="2:27" ht="16.5" x14ac:dyDescent="0.25">
      <c r="B29" s="79"/>
      <c r="D29" s="72"/>
      <c r="E29" s="9" t="s">
        <v>39</v>
      </c>
      <c r="F29" s="11">
        <v>45</v>
      </c>
      <c r="G29" s="10">
        <v>31</v>
      </c>
      <c r="H29" s="11">
        <v>45</v>
      </c>
      <c r="I29" s="10">
        <v>31</v>
      </c>
      <c r="M29" s="11">
        <v>1</v>
      </c>
      <c r="N29" s="10">
        <v>1</v>
      </c>
      <c r="O29" s="11">
        <v>1</v>
      </c>
      <c r="P29" s="10">
        <v>1</v>
      </c>
      <c r="T29" s="11">
        <v>45</v>
      </c>
      <c r="U29" s="10">
        <v>26</v>
      </c>
      <c r="V29" s="11">
        <v>45</v>
      </c>
      <c r="W29" s="10">
        <v>26</v>
      </c>
      <c r="X29" s="11">
        <v>45</v>
      </c>
      <c r="Y29" s="10">
        <v>26</v>
      </c>
    </row>
    <row r="30" spans="2:27" ht="16.5" x14ac:dyDescent="0.25">
      <c r="B30" s="79"/>
      <c r="D30" s="72"/>
      <c r="E30" s="9" t="s">
        <v>40</v>
      </c>
      <c r="F30" s="8">
        <v>49</v>
      </c>
      <c r="G30" s="7">
        <v>27</v>
      </c>
      <c r="H30" s="8">
        <v>49</v>
      </c>
      <c r="I30" s="7">
        <v>27</v>
      </c>
      <c r="M30" s="8">
        <v>1</v>
      </c>
      <c r="N30" s="7">
        <v>0.80800000000000005</v>
      </c>
      <c r="O30" s="8">
        <v>1</v>
      </c>
      <c r="P30" s="7">
        <v>0.80800000000000005</v>
      </c>
      <c r="T30" s="8">
        <v>52</v>
      </c>
      <c r="U30" s="7">
        <v>25</v>
      </c>
      <c r="V30" s="8">
        <v>52</v>
      </c>
      <c r="W30" s="7">
        <v>25</v>
      </c>
      <c r="X30" s="8">
        <v>52</v>
      </c>
      <c r="Y30" s="7">
        <v>25</v>
      </c>
    </row>
    <row r="31" spans="2:27" ht="16.5" x14ac:dyDescent="0.25">
      <c r="B31" s="79"/>
      <c r="D31" s="72"/>
      <c r="E31" s="9" t="s">
        <v>41</v>
      </c>
      <c r="F31" s="8"/>
      <c r="G31" s="7"/>
      <c r="H31" s="8"/>
      <c r="I31" s="7"/>
      <c r="M31" s="8">
        <v>1</v>
      </c>
      <c r="N31" s="7">
        <v>0.69899999999999995</v>
      </c>
      <c r="O31" s="8">
        <v>1</v>
      </c>
      <c r="P31" s="7">
        <v>0.69899999999999995</v>
      </c>
      <c r="T31" s="8"/>
      <c r="U31" s="7"/>
      <c r="V31" s="8"/>
      <c r="W31" s="7"/>
      <c r="X31" s="8"/>
      <c r="Y31" s="7"/>
    </row>
    <row r="32" spans="2:27" ht="16.5" x14ac:dyDescent="0.25">
      <c r="B32" s="79"/>
      <c r="D32" s="72"/>
      <c r="E32" s="9" t="s">
        <v>42</v>
      </c>
      <c r="F32" s="8"/>
      <c r="G32" s="7"/>
      <c r="H32" s="8"/>
      <c r="I32" s="7"/>
      <c r="M32" s="8">
        <v>1</v>
      </c>
      <c r="N32" s="7">
        <v>0.57999999999999996</v>
      </c>
      <c r="O32" s="8">
        <v>1</v>
      </c>
      <c r="P32" s="7">
        <v>0.57999999999999996</v>
      </c>
      <c r="T32" s="8"/>
      <c r="U32" s="7"/>
      <c r="V32" s="8"/>
      <c r="W32" s="7"/>
      <c r="X32" s="8"/>
      <c r="Y32" s="7"/>
    </row>
    <row r="33" spans="2:25" ht="16.5" x14ac:dyDescent="0.25">
      <c r="B33" s="79"/>
      <c r="D33" s="72"/>
      <c r="E33" s="9" t="s">
        <v>43</v>
      </c>
      <c r="F33" s="8"/>
      <c r="G33" s="7"/>
      <c r="H33" s="8"/>
      <c r="I33" s="7"/>
      <c r="M33" s="8">
        <v>1</v>
      </c>
      <c r="N33" s="7">
        <v>0.48</v>
      </c>
      <c r="O33" s="8">
        <v>1</v>
      </c>
      <c r="P33" s="7">
        <v>0.48</v>
      </c>
      <c r="T33" s="8"/>
      <c r="U33" s="7"/>
      <c r="V33" s="8"/>
      <c r="W33" s="7"/>
      <c r="X33" s="8"/>
      <c r="Y33" s="7"/>
    </row>
    <row r="34" spans="2:25" x14ac:dyDescent="0.25">
      <c r="B34" s="79"/>
      <c r="D34" s="72"/>
      <c r="E34" s="9"/>
      <c r="F34" s="8"/>
      <c r="G34" s="7"/>
      <c r="H34" s="8"/>
      <c r="I34" s="7"/>
      <c r="M34" s="8"/>
      <c r="N34" s="7"/>
      <c r="O34" s="8"/>
      <c r="P34" s="7"/>
      <c r="T34" s="8"/>
      <c r="U34" s="7"/>
      <c r="V34" s="8"/>
      <c r="W34" s="7"/>
      <c r="X34" s="8"/>
      <c r="Y34" s="7"/>
    </row>
    <row r="35" spans="2:25" x14ac:dyDescent="0.25">
      <c r="B35" s="79"/>
      <c r="D35" s="72"/>
      <c r="E35" s="9" t="s">
        <v>44</v>
      </c>
      <c r="F35" s="8"/>
      <c r="G35" s="7"/>
      <c r="H35" s="8"/>
      <c r="I35" s="7"/>
      <c r="M35" s="8"/>
      <c r="N35" s="7"/>
      <c r="O35" s="8"/>
      <c r="P35" s="7"/>
      <c r="T35" s="8">
        <v>32</v>
      </c>
      <c r="U35" s="7">
        <v>43</v>
      </c>
      <c r="V35" s="8">
        <v>32</v>
      </c>
      <c r="W35" s="7">
        <v>43</v>
      </c>
      <c r="X35" s="8">
        <v>32</v>
      </c>
      <c r="Y35" s="7">
        <v>43</v>
      </c>
    </row>
    <row r="36" spans="2:25" x14ac:dyDescent="0.25">
      <c r="B36" s="79"/>
      <c r="D36" s="72"/>
      <c r="E36" s="9" t="s">
        <v>45</v>
      </c>
      <c r="F36" s="8">
        <v>27</v>
      </c>
      <c r="G36" s="7">
        <v>47</v>
      </c>
      <c r="H36" s="8">
        <v>27</v>
      </c>
      <c r="I36" s="7">
        <v>47</v>
      </c>
      <c r="M36" s="8"/>
      <c r="N36" s="7"/>
      <c r="O36" s="8"/>
      <c r="P36" s="7"/>
      <c r="T36" s="8"/>
      <c r="U36" s="7"/>
      <c r="V36" s="8"/>
      <c r="W36" s="7"/>
      <c r="X36" s="8"/>
      <c r="Y36" s="7"/>
    </row>
    <row r="37" spans="2:25" x14ac:dyDescent="0.25">
      <c r="B37" s="79"/>
      <c r="D37" s="72"/>
      <c r="E37" s="6" t="s">
        <v>46</v>
      </c>
      <c r="F37" s="38">
        <v>15</v>
      </c>
      <c r="G37" s="37">
        <v>73</v>
      </c>
      <c r="H37" s="38">
        <v>15</v>
      </c>
      <c r="I37" s="37">
        <v>73</v>
      </c>
      <c r="M37" s="3">
        <v>1</v>
      </c>
      <c r="N37" s="2">
        <v>3.95</v>
      </c>
      <c r="O37" s="3">
        <v>1</v>
      </c>
      <c r="P37" s="2">
        <v>3.95</v>
      </c>
      <c r="T37" s="3">
        <v>10</v>
      </c>
      <c r="U37" s="2">
        <v>47</v>
      </c>
      <c r="V37" s="3">
        <v>10</v>
      </c>
      <c r="W37" s="2">
        <v>47</v>
      </c>
      <c r="X37" s="3">
        <v>10</v>
      </c>
      <c r="Y37" s="2">
        <v>51</v>
      </c>
    </row>
    <row r="38" spans="2:25" ht="17.25" x14ac:dyDescent="0.25">
      <c r="B38" s="79"/>
      <c r="D38" s="73"/>
      <c r="E38" s="1" t="s">
        <v>47</v>
      </c>
      <c r="F38" s="3" t="s">
        <v>48</v>
      </c>
      <c r="G38" s="2" t="s">
        <v>48</v>
      </c>
      <c r="H38" s="3" t="s">
        <v>48</v>
      </c>
      <c r="I38" s="2" t="s">
        <v>48</v>
      </c>
      <c r="M38" s="36" t="s">
        <v>48</v>
      </c>
      <c r="N38" s="2" t="s">
        <v>48</v>
      </c>
      <c r="O38" s="36" t="s">
        <v>48</v>
      </c>
      <c r="P38" s="2" t="s">
        <v>48</v>
      </c>
      <c r="T38" s="36">
        <v>10</v>
      </c>
      <c r="U38" s="2">
        <v>47</v>
      </c>
      <c r="V38" s="36">
        <v>10</v>
      </c>
      <c r="W38" s="2">
        <v>47</v>
      </c>
      <c r="X38" s="36">
        <v>10</v>
      </c>
      <c r="Y38" s="2">
        <v>51</v>
      </c>
    </row>
    <row r="39" spans="2:25" ht="15.75" thickBot="1" x14ac:dyDescent="0.3">
      <c r="B39" s="80"/>
      <c r="E39" s="1" t="s">
        <v>49</v>
      </c>
      <c r="F39" s="74">
        <f>G37/F37</f>
        <v>4.8666666666666663</v>
      </c>
      <c r="G39" s="75"/>
      <c r="H39" s="74">
        <f>I37/H37</f>
        <v>4.8666666666666663</v>
      </c>
      <c r="I39" s="75"/>
      <c r="M39" s="74">
        <f>N37/M37</f>
        <v>3.95</v>
      </c>
      <c r="N39" s="75"/>
      <c r="O39" s="74">
        <f>P37/O37</f>
        <v>3.95</v>
      </c>
      <c r="P39" s="75"/>
      <c r="T39" s="82">
        <f>U37/T37</f>
        <v>4.7</v>
      </c>
      <c r="U39" s="83"/>
      <c r="V39" s="82">
        <f>W37/V37</f>
        <v>4.7</v>
      </c>
      <c r="W39" s="83"/>
      <c r="X39" s="82">
        <f>Y37/X37</f>
        <v>5.0999999999999996</v>
      </c>
      <c r="Y39" s="83"/>
    </row>
    <row r="43" spans="2:25" ht="18" x14ac:dyDescent="0.25">
      <c r="D43" s="17"/>
      <c r="E43" s="35"/>
      <c r="F43" s="49" t="s">
        <v>50</v>
      </c>
      <c r="G43" s="49"/>
      <c r="H43" s="49" t="s">
        <v>51</v>
      </c>
      <c r="I43" s="49"/>
      <c r="K43" s="34" t="s">
        <v>5</v>
      </c>
      <c r="M43" s="50" t="s">
        <v>52</v>
      </c>
      <c r="N43" s="51"/>
      <c r="T43" s="50" t="s">
        <v>68</v>
      </c>
      <c r="U43" s="59"/>
      <c r="V43" s="59"/>
      <c r="W43" s="51"/>
    </row>
    <row r="44" spans="2:25" ht="37.9" customHeight="1" x14ac:dyDescent="0.25">
      <c r="D44" s="17"/>
      <c r="E44" s="35"/>
      <c r="F44" s="49" t="s">
        <v>8</v>
      </c>
      <c r="G44" s="49"/>
      <c r="H44" s="49" t="s">
        <v>9</v>
      </c>
      <c r="I44" s="49"/>
      <c r="K44" s="34"/>
      <c r="M44" s="50"/>
      <c r="N44" s="51"/>
      <c r="T44" s="81" t="s">
        <v>64</v>
      </c>
      <c r="U44" s="49"/>
      <c r="V44" s="81" t="s">
        <v>69</v>
      </c>
      <c r="W44" s="49"/>
    </row>
    <row r="45" spans="2:25" ht="15.75" thickBot="1" x14ac:dyDescent="0.3">
      <c r="D45" s="33"/>
      <c r="E45" s="33"/>
      <c r="F45" s="32"/>
      <c r="G45" s="32"/>
      <c r="H45" s="31"/>
      <c r="I45" s="31"/>
      <c r="K45" s="30"/>
      <c r="T45" s="32"/>
      <c r="U45" s="32"/>
      <c r="V45" s="31"/>
      <c r="W45" s="31"/>
    </row>
    <row r="46" spans="2:25" ht="18" thickBot="1" x14ac:dyDescent="0.3">
      <c r="B46" s="78" t="s">
        <v>53</v>
      </c>
      <c r="D46" s="69" t="s">
        <v>16</v>
      </c>
      <c r="E46" s="29" t="s">
        <v>17</v>
      </c>
      <c r="F46" s="67">
        <f t="shared" ref="F46:F51" si="4">60*F$60/((G62/F62)*(G$73/F$73))</f>
        <v>7.3049707981829979</v>
      </c>
      <c r="G46" s="68"/>
      <c r="H46" s="67">
        <f t="shared" ref="H46:H51" si="5">60*H$60/((I62/H62)*(I$73/H$73))</f>
        <v>7.3049707981829979</v>
      </c>
      <c r="I46" s="68"/>
      <c r="K46" s="27">
        <v>270</v>
      </c>
      <c r="M46" s="67">
        <f t="shared" ref="M46:M51" si="6">60*M$60/((N62/M62)*(N$73/M$73))</f>
        <v>7.3049707981829979</v>
      </c>
      <c r="N46" s="68"/>
      <c r="T46" s="67">
        <f>60*T$60/((U62/T62)*(U$74/T$74)*(U$72/T$72))</f>
        <v>6.2906715871854422</v>
      </c>
      <c r="U46" s="68"/>
      <c r="V46" s="67">
        <f>60*V$60/((W62/V62)*(W$74/V$74)*(W$72/V$72))</f>
        <v>5.293543091655267</v>
      </c>
      <c r="W46" s="68"/>
    </row>
    <row r="47" spans="2:25" ht="18" thickBot="1" x14ac:dyDescent="0.3">
      <c r="B47" s="79"/>
      <c r="D47" s="69"/>
      <c r="E47" s="25" t="s">
        <v>18</v>
      </c>
      <c r="F47" s="65">
        <f t="shared" si="4"/>
        <v>14.510328358208955</v>
      </c>
      <c r="G47" s="66"/>
      <c r="H47" s="65">
        <f t="shared" si="5"/>
        <v>14.510328358208955</v>
      </c>
      <c r="I47" s="66"/>
      <c r="K47" s="28">
        <v>320</v>
      </c>
      <c r="M47" s="65">
        <f t="shared" si="6"/>
        <v>14.510328358208955</v>
      </c>
      <c r="N47" s="66"/>
      <c r="T47" s="65">
        <f t="shared" ref="T47:T51" si="7">60*T$60/((U63/T63)*(U$74/T$74)*(U$72/T$72))</f>
        <v>11.241511823333983</v>
      </c>
      <c r="U47" s="66"/>
      <c r="V47" s="65">
        <f>60*V$60/((W63/V63)*(W$74/V$74)*(W$72/V$72))</f>
        <v>9.4596302521008422</v>
      </c>
      <c r="W47" s="66"/>
    </row>
    <row r="48" spans="2:25" ht="18" thickBot="1" x14ac:dyDescent="0.3">
      <c r="B48" s="79"/>
      <c r="D48" s="69"/>
      <c r="E48" s="25" t="s">
        <v>19</v>
      </c>
      <c r="F48" s="65">
        <f t="shared" si="4"/>
        <v>23.674746268656715</v>
      </c>
      <c r="G48" s="66"/>
      <c r="H48" s="65">
        <f t="shared" si="5"/>
        <v>23.674746268656715</v>
      </c>
      <c r="I48" s="66"/>
      <c r="K48" s="27">
        <v>360</v>
      </c>
      <c r="M48" s="65">
        <f t="shared" si="6"/>
        <v>23.674746268656715</v>
      </c>
      <c r="N48" s="66"/>
      <c r="T48" s="65">
        <f>60*T$60/((U64/T64)*(U$75/T$75)*(U$72/T$72))</f>
        <v>19.503053917637622</v>
      </c>
      <c r="U48" s="66"/>
      <c r="V48" s="65">
        <f>60*V$60/((W64/V64)*(W$75/V$75)*(W$72/V$72))</f>
        <v>16.411643002028399</v>
      </c>
      <c r="W48" s="66"/>
    </row>
    <row r="49" spans="2:23" ht="18" thickBot="1" x14ac:dyDescent="0.3">
      <c r="B49" s="79"/>
      <c r="D49" s="69"/>
      <c r="E49" s="25" t="s">
        <v>20</v>
      </c>
      <c r="F49" s="65">
        <f t="shared" si="4"/>
        <v>33.85055264219443</v>
      </c>
      <c r="G49" s="66"/>
      <c r="H49" s="65">
        <f t="shared" si="5"/>
        <v>31.311761194029852</v>
      </c>
      <c r="I49" s="66"/>
      <c r="K49" s="28">
        <v>380</v>
      </c>
      <c r="M49" s="65">
        <f t="shared" si="6"/>
        <v>33.85055264219443</v>
      </c>
      <c r="N49" s="66"/>
      <c r="T49" s="65">
        <f>60*T$60/((U65/T65)*(U$75/T$75)*(U$72/T$72))</f>
        <v>26.640041039671683</v>
      </c>
      <c r="U49" s="66"/>
      <c r="V49" s="65">
        <f>60*V$60/((W65/V65)*(W$75/V$75)*(W$72/V$72))</f>
        <v>22.417352941176471</v>
      </c>
      <c r="W49" s="66"/>
    </row>
    <row r="50" spans="2:23" ht="18" thickBot="1" x14ac:dyDescent="0.3">
      <c r="B50" s="79"/>
      <c r="D50" s="69"/>
      <c r="E50" s="25" t="s">
        <v>21</v>
      </c>
      <c r="F50" s="65">
        <f t="shared" si="4"/>
        <v>43.188636129696349</v>
      </c>
      <c r="G50" s="66"/>
      <c r="H50" s="65">
        <f t="shared" si="5"/>
        <v>40.402272508425618</v>
      </c>
      <c r="I50" s="66"/>
      <c r="K50" s="27">
        <v>380</v>
      </c>
      <c r="M50" s="65">
        <f t="shared" si="6"/>
        <v>43.188636129696349</v>
      </c>
      <c r="N50" s="66"/>
      <c r="T50" s="65">
        <f>60*T$60/((U66/T66)*(U$74/T$74))</f>
        <v>36.351627906976738</v>
      </c>
      <c r="U50" s="66"/>
      <c r="V50" s="65">
        <f>60*V$60/((W66/V66)*(W$74/V$74))</f>
        <v>30.589565217391307</v>
      </c>
      <c r="W50" s="66"/>
    </row>
    <row r="51" spans="2:23" ht="18" thickBot="1" x14ac:dyDescent="0.3">
      <c r="B51" s="79"/>
      <c r="D51" s="69"/>
      <c r="E51" s="25" t="s">
        <v>22</v>
      </c>
      <c r="F51" s="65">
        <f t="shared" si="4"/>
        <v>53.459104477611945</v>
      </c>
      <c r="G51" s="66"/>
      <c r="H51" s="65">
        <f t="shared" si="5"/>
        <v>47.858626865671638</v>
      </c>
      <c r="I51" s="66"/>
      <c r="K51" s="26">
        <v>380</v>
      </c>
      <c r="M51" s="65">
        <f t="shared" si="6"/>
        <v>53.459104477611945</v>
      </c>
      <c r="N51" s="66"/>
      <c r="T51" s="65">
        <f t="shared" si="7"/>
        <v>45.974117647058826</v>
      </c>
      <c r="U51" s="66"/>
      <c r="V51" s="65">
        <f>60*V$60/((W67/V67)*(W$74/V$74)*(W$72/V$72))</f>
        <v>38.686803069053717</v>
      </c>
      <c r="W51" s="66"/>
    </row>
    <row r="52" spans="2:23" ht="17.25" x14ac:dyDescent="0.25">
      <c r="B52" s="79"/>
      <c r="D52" s="69"/>
      <c r="E52" s="25" t="s">
        <v>23</v>
      </c>
      <c r="F52" s="24"/>
      <c r="G52" s="23"/>
      <c r="H52" s="24"/>
      <c r="I52" s="23"/>
      <c r="M52" s="24"/>
      <c r="N52" s="23"/>
      <c r="T52" s="24"/>
      <c r="U52" s="23"/>
      <c r="V52" s="24"/>
      <c r="W52" s="23"/>
    </row>
    <row r="53" spans="2:23" ht="17.25" x14ac:dyDescent="0.25">
      <c r="B53" s="79"/>
      <c r="D53" s="69"/>
      <c r="E53" s="25" t="s">
        <v>24</v>
      </c>
      <c r="F53" s="24"/>
      <c r="G53" s="23"/>
      <c r="H53" s="24"/>
      <c r="I53" s="23"/>
      <c r="M53" s="24"/>
      <c r="N53" s="23"/>
      <c r="T53" s="24"/>
      <c r="U53" s="23"/>
      <c r="V53" s="24"/>
      <c r="W53" s="23"/>
    </row>
    <row r="54" spans="2:23" ht="17.25" x14ac:dyDescent="0.25">
      <c r="B54" s="79"/>
      <c r="D54" s="69"/>
      <c r="E54" s="25" t="s">
        <v>25</v>
      </c>
      <c r="F54" s="24"/>
      <c r="G54" s="23"/>
      <c r="H54" s="24"/>
      <c r="I54" s="23"/>
      <c r="M54" s="24"/>
      <c r="N54" s="23"/>
      <c r="T54" s="24"/>
      <c r="U54" s="23"/>
      <c r="V54" s="24"/>
      <c r="W54" s="23"/>
    </row>
    <row r="55" spans="2:23" ht="15.75" thickBot="1" x14ac:dyDescent="0.3">
      <c r="B55" s="79"/>
      <c r="D55" s="69"/>
      <c r="E55" s="25"/>
      <c r="F55" s="24"/>
      <c r="G55" s="23"/>
      <c r="H55" s="24"/>
      <c r="I55" s="23"/>
      <c r="M55" s="24"/>
      <c r="N55" s="23"/>
      <c r="T55" s="24"/>
      <c r="U55" s="23"/>
      <c r="V55" s="24"/>
      <c r="W55" s="23"/>
    </row>
    <row r="56" spans="2:23" ht="15.75" thickBot="1" x14ac:dyDescent="0.3">
      <c r="B56" s="79"/>
      <c r="D56" s="69"/>
      <c r="E56" s="22" t="s">
        <v>26</v>
      </c>
      <c r="F56" s="65">
        <f>F47*(F72/G72)</f>
        <v>8.3357205462051454</v>
      </c>
      <c r="G56" s="66"/>
      <c r="H56" s="65">
        <f>H47*(H72/I72)</f>
        <v>8.3357205462051454</v>
      </c>
      <c r="I56" s="66"/>
      <c r="K56" s="21">
        <v>285</v>
      </c>
      <c r="M56" s="65">
        <f>M47*(M72/N72)</f>
        <v>8.3357205462051454</v>
      </c>
      <c r="N56" s="66"/>
      <c r="T56" s="65">
        <v>5.15</v>
      </c>
      <c r="U56" s="66"/>
      <c r="V56" s="65">
        <v>5.17</v>
      </c>
      <c r="W56" s="66"/>
    </row>
    <row r="57" spans="2:23" x14ac:dyDescent="0.25">
      <c r="B57" s="79"/>
      <c r="D57" s="69"/>
      <c r="E57" s="20" t="s">
        <v>27</v>
      </c>
      <c r="F57" s="63">
        <f>F51/F46</f>
        <v>7.3181818181818192</v>
      </c>
      <c r="G57" s="63"/>
      <c r="H57" s="63">
        <f>H51/H46</f>
        <v>6.5515151515151508</v>
      </c>
      <c r="I57" s="63"/>
      <c r="M57" s="63">
        <f>M51/M46</f>
        <v>7.3181818181818192</v>
      </c>
      <c r="N57" s="63"/>
      <c r="T57" s="63">
        <f>T51/T46</f>
        <v>7.308300395256917</v>
      </c>
      <c r="U57" s="63"/>
      <c r="V57" s="63">
        <f>V51/V46</f>
        <v>7.3083003952569179</v>
      </c>
      <c r="W57" s="63"/>
    </row>
    <row r="58" spans="2:23" x14ac:dyDescent="0.25">
      <c r="B58" s="79"/>
      <c r="D58" s="19"/>
      <c r="E58" s="17"/>
      <c r="F58" s="76"/>
      <c r="G58" s="76"/>
      <c r="H58" s="17"/>
      <c r="I58" s="17"/>
      <c r="M58" s="17"/>
      <c r="N58" s="17"/>
      <c r="T58" s="76"/>
      <c r="U58" s="76"/>
      <c r="V58" s="17"/>
      <c r="W58" s="17"/>
    </row>
    <row r="59" spans="2:23" x14ac:dyDescent="0.25">
      <c r="B59" s="79"/>
      <c r="D59" s="70" t="s">
        <v>28</v>
      </c>
      <c r="E59" s="18" t="s">
        <v>29</v>
      </c>
      <c r="F59" s="60" t="s">
        <v>54</v>
      </c>
      <c r="G59" s="60"/>
      <c r="H59" s="60" t="s">
        <v>54</v>
      </c>
      <c r="I59" s="60"/>
      <c r="M59" s="60" t="s">
        <v>54</v>
      </c>
      <c r="N59" s="60"/>
      <c r="T59" s="77" t="s">
        <v>32</v>
      </c>
      <c r="U59" s="77"/>
      <c r="V59" s="60" t="s">
        <v>70</v>
      </c>
      <c r="W59" s="60"/>
    </row>
    <row r="60" spans="2:23" x14ac:dyDescent="0.25">
      <c r="B60" s="79"/>
      <c r="D60" s="70"/>
      <c r="E60" s="18" t="s">
        <v>55</v>
      </c>
      <c r="F60" s="61">
        <v>2.1320000000000001</v>
      </c>
      <c r="G60" s="62"/>
      <c r="H60" s="61">
        <v>2.1320000000000001</v>
      </c>
      <c r="I60" s="62"/>
      <c r="M60" s="61">
        <v>2.1320000000000001</v>
      </c>
      <c r="N60" s="62"/>
      <c r="T60" s="61">
        <v>2.1709999999999998</v>
      </c>
      <c r="U60" s="62"/>
      <c r="V60" s="61">
        <v>2.1320000000000001</v>
      </c>
      <c r="W60" s="62"/>
    </row>
    <row r="61" spans="2:23" x14ac:dyDescent="0.25">
      <c r="B61" s="79"/>
      <c r="D61" s="17"/>
      <c r="E61" s="16"/>
      <c r="F61" s="15"/>
      <c r="G61" s="15"/>
      <c r="H61" s="15"/>
      <c r="I61" s="15"/>
      <c r="M61" s="15"/>
      <c r="N61" s="15"/>
      <c r="T61" s="15"/>
      <c r="U61" s="15"/>
      <c r="V61" s="15"/>
      <c r="W61" s="15"/>
    </row>
    <row r="62" spans="2:23" ht="16.5" x14ac:dyDescent="0.25">
      <c r="B62" s="79"/>
      <c r="D62" s="71" t="s">
        <v>34</v>
      </c>
      <c r="E62" s="14" t="s">
        <v>35</v>
      </c>
      <c r="F62" s="13">
        <v>11</v>
      </c>
      <c r="G62" s="12">
        <v>46</v>
      </c>
      <c r="H62" s="13">
        <v>11</v>
      </c>
      <c r="I62" s="12">
        <v>46</v>
      </c>
      <c r="M62" s="13">
        <v>11</v>
      </c>
      <c r="N62" s="12">
        <v>46</v>
      </c>
      <c r="T62" s="13">
        <v>11</v>
      </c>
      <c r="U62" s="12">
        <v>43</v>
      </c>
      <c r="V62" s="13">
        <v>11</v>
      </c>
      <c r="W62" s="12">
        <v>43</v>
      </c>
    </row>
    <row r="63" spans="2:23" ht="16.5" x14ac:dyDescent="0.25">
      <c r="B63" s="79"/>
      <c r="D63" s="72"/>
      <c r="E63" s="9" t="s">
        <v>36</v>
      </c>
      <c r="F63" s="11">
        <v>19</v>
      </c>
      <c r="G63" s="10">
        <v>40</v>
      </c>
      <c r="H63" s="11">
        <v>19</v>
      </c>
      <c r="I63" s="10">
        <v>40</v>
      </c>
      <c r="M63" s="11">
        <v>19</v>
      </c>
      <c r="N63" s="10">
        <v>40</v>
      </c>
      <c r="T63" s="11">
        <v>16</v>
      </c>
      <c r="U63" s="10">
        <v>35</v>
      </c>
      <c r="V63" s="11">
        <v>16</v>
      </c>
      <c r="W63" s="10">
        <v>35</v>
      </c>
    </row>
    <row r="64" spans="2:23" ht="16.5" x14ac:dyDescent="0.25">
      <c r="B64" s="79"/>
      <c r="D64" s="72"/>
      <c r="E64" s="9" t="s">
        <v>37</v>
      </c>
      <c r="F64" s="11">
        <v>31</v>
      </c>
      <c r="G64" s="10">
        <v>40</v>
      </c>
      <c r="H64" s="11">
        <v>31</v>
      </c>
      <c r="I64" s="10">
        <v>40</v>
      </c>
      <c r="M64" s="11">
        <v>31</v>
      </c>
      <c r="N64" s="10">
        <v>40</v>
      </c>
      <c r="T64" s="11">
        <v>23</v>
      </c>
      <c r="U64" s="10">
        <v>29</v>
      </c>
      <c r="V64" s="11">
        <v>23</v>
      </c>
      <c r="W64" s="10">
        <v>29</v>
      </c>
    </row>
    <row r="65" spans="2:23" ht="16.5" x14ac:dyDescent="0.25">
      <c r="B65" s="79"/>
      <c r="D65" s="72"/>
      <c r="E65" s="9" t="s">
        <v>38</v>
      </c>
      <c r="F65" s="11">
        <v>41</v>
      </c>
      <c r="G65" s="10">
        <v>37</v>
      </c>
      <c r="H65" s="11">
        <v>41</v>
      </c>
      <c r="I65" s="40">
        <v>40</v>
      </c>
      <c r="M65" s="11">
        <v>41</v>
      </c>
      <c r="N65" s="10">
        <v>37</v>
      </c>
      <c r="T65" s="11">
        <v>26</v>
      </c>
      <c r="U65" s="10">
        <v>24</v>
      </c>
      <c r="V65" s="11">
        <v>26</v>
      </c>
      <c r="W65" s="10">
        <v>24</v>
      </c>
    </row>
    <row r="66" spans="2:23" ht="16.5" x14ac:dyDescent="0.25">
      <c r="B66" s="79"/>
      <c r="D66" s="72"/>
      <c r="E66" s="9" t="s">
        <v>39</v>
      </c>
      <c r="F66" s="11">
        <v>41</v>
      </c>
      <c r="G66" s="10">
        <v>29</v>
      </c>
      <c r="H66" s="11">
        <v>41</v>
      </c>
      <c r="I66" s="40">
        <v>31</v>
      </c>
      <c r="M66" s="11">
        <v>41</v>
      </c>
      <c r="N66" s="10">
        <v>29</v>
      </c>
      <c r="T66" s="11">
        <v>1</v>
      </c>
      <c r="U66" s="10">
        <v>1</v>
      </c>
      <c r="V66" s="11">
        <v>1</v>
      </c>
      <c r="W66" s="10">
        <v>1</v>
      </c>
    </row>
    <row r="67" spans="2:23" ht="16.5" x14ac:dyDescent="0.25">
      <c r="B67" s="79"/>
      <c r="D67" s="72"/>
      <c r="E67" s="9" t="s">
        <v>40</v>
      </c>
      <c r="F67" s="8">
        <v>49</v>
      </c>
      <c r="G67" s="7">
        <v>28</v>
      </c>
      <c r="H67" s="42">
        <v>47</v>
      </c>
      <c r="I67" s="41">
        <v>30</v>
      </c>
      <c r="M67" s="8">
        <v>49</v>
      </c>
      <c r="N67" s="7">
        <v>28</v>
      </c>
      <c r="T67" s="8">
        <v>43</v>
      </c>
      <c r="U67" s="7">
        <v>23</v>
      </c>
      <c r="V67" s="8">
        <v>43</v>
      </c>
      <c r="W67" s="7">
        <v>23</v>
      </c>
    </row>
    <row r="68" spans="2:23" ht="16.5" x14ac:dyDescent="0.25">
      <c r="B68" s="79"/>
      <c r="D68" s="72"/>
      <c r="E68" s="9" t="s">
        <v>41</v>
      </c>
      <c r="F68" s="8"/>
      <c r="G68" s="7"/>
      <c r="H68" s="8"/>
      <c r="I68" s="7"/>
      <c r="M68" s="8"/>
      <c r="N68" s="7"/>
      <c r="T68" s="8"/>
      <c r="U68" s="7"/>
      <c r="V68" s="8"/>
      <c r="W68" s="7"/>
    </row>
    <row r="69" spans="2:23" ht="16.5" x14ac:dyDescent="0.25">
      <c r="B69" s="79"/>
      <c r="D69" s="72"/>
      <c r="E69" s="9" t="s">
        <v>42</v>
      </c>
      <c r="F69" s="8"/>
      <c r="G69" s="7"/>
      <c r="H69" s="8"/>
      <c r="I69" s="7"/>
      <c r="M69" s="8"/>
      <c r="N69" s="7"/>
      <c r="T69" s="8"/>
      <c r="U69" s="7"/>
      <c r="V69" s="8"/>
      <c r="W69" s="7"/>
    </row>
    <row r="70" spans="2:23" ht="16.5" x14ac:dyDescent="0.25">
      <c r="B70" s="79"/>
      <c r="D70" s="72"/>
      <c r="E70" s="9" t="s">
        <v>43</v>
      </c>
      <c r="F70" s="8"/>
      <c r="G70" s="7"/>
      <c r="H70" s="8"/>
      <c r="I70" s="7"/>
      <c r="M70" s="8"/>
      <c r="N70" s="7"/>
      <c r="T70" s="8"/>
      <c r="U70" s="7"/>
      <c r="V70" s="8"/>
      <c r="W70" s="7"/>
    </row>
    <row r="71" spans="2:23" x14ac:dyDescent="0.25">
      <c r="B71" s="79"/>
      <c r="D71" s="72"/>
      <c r="E71" s="9"/>
      <c r="F71" s="8"/>
      <c r="G71" s="7"/>
      <c r="H71" s="8"/>
      <c r="I71" s="7"/>
      <c r="M71" s="8"/>
      <c r="N71" s="7"/>
      <c r="T71" s="8"/>
      <c r="U71" s="7"/>
      <c r="V71" s="8"/>
      <c r="W71" s="7"/>
    </row>
    <row r="72" spans="2:23" x14ac:dyDescent="0.25">
      <c r="B72" s="79"/>
      <c r="D72" s="72"/>
      <c r="E72" s="9" t="s">
        <v>45</v>
      </c>
      <c r="F72" s="8">
        <v>27</v>
      </c>
      <c r="G72" s="7">
        <v>47</v>
      </c>
      <c r="H72" s="8">
        <v>27</v>
      </c>
      <c r="I72" s="7">
        <v>47</v>
      </c>
      <c r="M72" s="8">
        <v>27</v>
      </c>
      <c r="N72" s="7">
        <v>47</v>
      </c>
      <c r="T72" s="8">
        <v>23</v>
      </c>
      <c r="U72" s="7">
        <v>34</v>
      </c>
      <c r="V72" s="8">
        <v>23</v>
      </c>
      <c r="W72" s="7">
        <v>34</v>
      </c>
    </row>
    <row r="73" spans="2:23" x14ac:dyDescent="0.25">
      <c r="B73" s="79"/>
      <c r="D73" s="72"/>
      <c r="E73" s="6" t="s">
        <v>46</v>
      </c>
      <c r="F73" s="5">
        <v>16</v>
      </c>
      <c r="G73" s="4">
        <v>67</v>
      </c>
      <c r="H73" s="5">
        <v>16</v>
      </c>
      <c r="I73" s="4">
        <v>67</v>
      </c>
      <c r="M73" s="5">
        <v>16</v>
      </c>
      <c r="N73" s="4">
        <v>67</v>
      </c>
      <c r="T73" s="8"/>
      <c r="U73" s="7"/>
      <c r="V73" s="8"/>
      <c r="W73" s="7"/>
    </row>
    <row r="74" spans="2:23" ht="17.25" x14ac:dyDescent="0.25">
      <c r="B74" s="79"/>
      <c r="D74" s="73"/>
      <c r="E74" s="1" t="s">
        <v>47</v>
      </c>
      <c r="F74" s="3" t="s">
        <v>48</v>
      </c>
      <c r="G74" s="2" t="s">
        <v>48</v>
      </c>
      <c r="H74" s="3" t="s">
        <v>48</v>
      </c>
      <c r="I74" s="2" t="s">
        <v>48</v>
      </c>
      <c r="M74" s="3" t="s">
        <v>48</v>
      </c>
      <c r="N74" s="2" t="s">
        <v>48</v>
      </c>
      <c r="T74" s="3">
        <v>12</v>
      </c>
      <c r="U74" s="2">
        <v>43</v>
      </c>
      <c r="V74" s="3">
        <v>11</v>
      </c>
      <c r="W74" s="2">
        <v>46</v>
      </c>
    </row>
    <row r="75" spans="2:23" ht="15.75" thickBot="1" x14ac:dyDescent="0.3">
      <c r="B75" s="80"/>
      <c r="E75" s="1" t="s">
        <v>49</v>
      </c>
      <c r="F75" s="74">
        <f>G73/F73</f>
        <v>4.1875</v>
      </c>
      <c r="G75" s="75"/>
      <c r="H75" s="74">
        <f>I73/H73</f>
        <v>4.1875</v>
      </c>
      <c r="I75" s="75"/>
      <c r="M75" s="74">
        <f>N73/M73</f>
        <v>4.1875</v>
      </c>
      <c r="N75" s="75"/>
      <c r="T75" s="36">
        <v>12</v>
      </c>
      <c r="U75" s="2">
        <v>43</v>
      </c>
      <c r="V75" s="36">
        <v>11</v>
      </c>
      <c r="W75" s="2">
        <v>46</v>
      </c>
    </row>
    <row r="76" spans="2:23" x14ac:dyDescent="0.25">
      <c r="T76" s="74">
        <f>U74/T74</f>
        <v>3.5833333333333335</v>
      </c>
      <c r="U76" s="75"/>
      <c r="V76" s="74">
        <f>W74/V74</f>
        <v>4.1818181818181817</v>
      </c>
      <c r="W76" s="75"/>
    </row>
  </sheetData>
  <mergeCells count="175">
    <mergeCell ref="T5:Y5"/>
    <mergeCell ref="T6:Y6"/>
    <mergeCell ref="X14:Y14"/>
    <mergeCell ref="T14:U14"/>
    <mergeCell ref="X19:Y19"/>
    <mergeCell ref="M6:P6"/>
    <mergeCell ref="M5:P5"/>
    <mergeCell ref="M10:N10"/>
    <mergeCell ref="O10:P10"/>
    <mergeCell ref="T10:U10"/>
    <mergeCell ref="X12:Y12"/>
    <mergeCell ref="M15:N15"/>
    <mergeCell ref="O15:P15"/>
    <mergeCell ref="V7:W7"/>
    <mergeCell ref="V9:W9"/>
    <mergeCell ref="V10:W10"/>
    <mergeCell ref="V11:W11"/>
    <mergeCell ref="V12:W12"/>
    <mergeCell ref="V13:W13"/>
    <mergeCell ref="V14:W14"/>
    <mergeCell ref="V19:W19"/>
    <mergeCell ref="M16:N16"/>
    <mergeCell ref="O16:P16"/>
    <mergeCell ref="M17:N17"/>
    <mergeCell ref="F5:I5"/>
    <mergeCell ref="X7:Y7"/>
    <mergeCell ref="B9:B39"/>
    <mergeCell ref="D9:D20"/>
    <mergeCell ref="F9:G9"/>
    <mergeCell ref="H9:I9"/>
    <mergeCell ref="M9:N9"/>
    <mergeCell ref="O9:P9"/>
    <mergeCell ref="T9:U9"/>
    <mergeCell ref="X9:Y9"/>
    <mergeCell ref="F7:G7"/>
    <mergeCell ref="H7:I7"/>
    <mergeCell ref="M7:N7"/>
    <mergeCell ref="O7:P7"/>
    <mergeCell ref="T7:U7"/>
    <mergeCell ref="X10:Y10"/>
    <mergeCell ref="F11:G11"/>
    <mergeCell ref="H11:I11"/>
    <mergeCell ref="M11:N11"/>
    <mergeCell ref="O11:P11"/>
    <mergeCell ref="T11:U11"/>
    <mergeCell ref="X11:Y11"/>
    <mergeCell ref="F10:G10"/>
    <mergeCell ref="H10:I10"/>
    <mergeCell ref="F13:G13"/>
    <mergeCell ref="H13:I13"/>
    <mergeCell ref="M13:N13"/>
    <mergeCell ref="O13:P13"/>
    <mergeCell ref="T13:U13"/>
    <mergeCell ref="X13:Y13"/>
    <mergeCell ref="F12:G12"/>
    <mergeCell ref="H12:I12"/>
    <mergeCell ref="M12:N12"/>
    <mergeCell ref="O12:P12"/>
    <mergeCell ref="T12:U12"/>
    <mergeCell ref="O17:P17"/>
    <mergeCell ref="F14:G14"/>
    <mergeCell ref="H14:I14"/>
    <mergeCell ref="M14:N14"/>
    <mergeCell ref="O14:P14"/>
    <mergeCell ref="F20:G20"/>
    <mergeCell ref="H20:I20"/>
    <mergeCell ref="M20:N20"/>
    <mergeCell ref="O20:P20"/>
    <mergeCell ref="T20:U20"/>
    <mergeCell ref="X20:Y20"/>
    <mergeCell ref="F19:G19"/>
    <mergeCell ref="H19:I19"/>
    <mergeCell ref="M19:N19"/>
    <mergeCell ref="O19:P19"/>
    <mergeCell ref="T19:U19"/>
    <mergeCell ref="F21:G21"/>
    <mergeCell ref="M21:N21"/>
    <mergeCell ref="O21:P21"/>
    <mergeCell ref="T21:U21"/>
    <mergeCell ref="V21:W21"/>
    <mergeCell ref="V20:W20"/>
    <mergeCell ref="M43:N43"/>
    <mergeCell ref="F22:G22"/>
    <mergeCell ref="H22:I22"/>
    <mergeCell ref="M22:N22"/>
    <mergeCell ref="O22:P22"/>
    <mergeCell ref="T22:U22"/>
    <mergeCell ref="X22:Y22"/>
    <mergeCell ref="F23:G23"/>
    <mergeCell ref="H23:I23"/>
    <mergeCell ref="M23:N23"/>
    <mergeCell ref="O23:P23"/>
    <mergeCell ref="T23:U23"/>
    <mergeCell ref="V22:W22"/>
    <mergeCell ref="V23:W23"/>
    <mergeCell ref="V39:W39"/>
    <mergeCell ref="T43:W43"/>
    <mergeCell ref="M44:N44"/>
    <mergeCell ref="D25:D38"/>
    <mergeCell ref="F39:G39"/>
    <mergeCell ref="H39:I39"/>
    <mergeCell ref="M39:N39"/>
    <mergeCell ref="O39:P39"/>
    <mergeCell ref="H49:I49"/>
    <mergeCell ref="M49:N49"/>
    <mergeCell ref="X23:Y23"/>
    <mergeCell ref="D22:D23"/>
    <mergeCell ref="T44:U44"/>
    <mergeCell ref="V44:W44"/>
    <mergeCell ref="T46:U46"/>
    <mergeCell ref="V46:W46"/>
    <mergeCell ref="T47:U47"/>
    <mergeCell ref="V47:W47"/>
    <mergeCell ref="T48:U48"/>
    <mergeCell ref="V48:W48"/>
    <mergeCell ref="T49:U49"/>
    <mergeCell ref="V49:W49"/>
    <mergeCell ref="T39:U39"/>
    <mergeCell ref="X39:Y39"/>
    <mergeCell ref="F43:G43"/>
    <mergeCell ref="H43:I43"/>
    <mergeCell ref="B46:B75"/>
    <mergeCell ref="D46:D57"/>
    <mergeCell ref="F46:G46"/>
    <mergeCell ref="H46:I46"/>
    <mergeCell ref="M46:N46"/>
    <mergeCell ref="F47:G47"/>
    <mergeCell ref="H47:I47"/>
    <mergeCell ref="M47:N47"/>
    <mergeCell ref="F48:G48"/>
    <mergeCell ref="H48:I48"/>
    <mergeCell ref="M60:N60"/>
    <mergeCell ref="D62:D74"/>
    <mergeCell ref="F75:G75"/>
    <mergeCell ref="H75:I75"/>
    <mergeCell ref="M75:N75"/>
    <mergeCell ref="F6:I6"/>
    <mergeCell ref="F57:G57"/>
    <mergeCell ref="H57:I57"/>
    <mergeCell ref="M57:N57"/>
    <mergeCell ref="F58:G58"/>
    <mergeCell ref="D59:D60"/>
    <mergeCell ref="F59:G59"/>
    <mergeCell ref="H59:I59"/>
    <mergeCell ref="M59:N59"/>
    <mergeCell ref="F60:G60"/>
    <mergeCell ref="H60:I60"/>
    <mergeCell ref="F51:G51"/>
    <mergeCell ref="H51:I51"/>
    <mergeCell ref="M51:N51"/>
    <mergeCell ref="F56:G56"/>
    <mergeCell ref="H56:I56"/>
    <mergeCell ref="M56:N56"/>
    <mergeCell ref="M48:N48"/>
    <mergeCell ref="F49:G49"/>
    <mergeCell ref="F50:G50"/>
    <mergeCell ref="H50:I50"/>
    <mergeCell ref="M50:N50"/>
    <mergeCell ref="F44:G44"/>
    <mergeCell ref="H44:I44"/>
    <mergeCell ref="T59:U59"/>
    <mergeCell ref="V59:W59"/>
    <mergeCell ref="T60:U60"/>
    <mergeCell ref="V60:W60"/>
    <mergeCell ref="T76:U76"/>
    <mergeCell ref="V76:W76"/>
    <mergeCell ref="T50:U50"/>
    <mergeCell ref="V50:W50"/>
    <mergeCell ref="T51:U51"/>
    <mergeCell ref="V51:W51"/>
    <mergeCell ref="T56:U56"/>
    <mergeCell ref="V56:W56"/>
    <mergeCell ref="T57:U57"/>
    <mergeCell ref="V57:W57"/>
    <mergeCell ref="T58:U58"/>
  </mergeCells>
  <conditionalFormatting sqref="F26">
    <cfRule type="cellIs" dxfId="23" priority="35" operator="between">
      <formula>#REF!+#REF!</formula>
      <formula>#REF!</formula>
    </cfRule>
    <cfRule type="cellIs" dxfId="22" priority="36" operator="between">
      <formula>#REF!</formula>
      <formula>#REF!+#REF!</formula>
    </cfRule>
  </conditionalFormatting>
  <conditionalFormatting sqref="F63">
    <cfRule type="cellIs" dxfId="21" priority="23" operator="between">
      <formula>#REF!+#REF!</formula>
      <formula>#REF!</formula>
    </cfRule>
    <cfRule type="cellIs" dxfId="20" priority="24" operator="between">
      <formula>#REF!</formula>
      <formula>#REF!+#REF!</formula>
    </cfRule>
  </conditionalFormatting>
  <conditionalFormatting sqref="H26">
    <cfRule type="cellIs" dxfId="19" priority="37" operator="between">
      <formula>#REF!+#REF!</formula>
      <formula>#REF!</formula>
    </cfRule>
    <cfRule type="cellIs" dxfId="18" priority="38" operator="between">
      <formula>#REF!</formula>
      <formula>#REF!+#REF!</formula>
    </cfRule>
  </conditionalFormatting>
  <conditionalFormatting sqref="H63">
    <cfRule type="cellIs" dxfId="17" priority="25" operator="between">
      <formula>#REF!+#REF!</formula>
      <formula>#REF!</formula>
    </cfRule>
    <cfRule type="cellIs" dxfId="16" priority="26" operator="between">
      <formula>#REF!</formula>
      <formula>#REF!+#REF!</formula>
    </cfRule>
  </conditionalFormatting>
  <conditionalFormatting sqref="M26">
    <cfRule type="cellIs" dxfId="15" priority="29" operator="between">
      <formula>#REF!+#REF!</formula>
      <formula>#REF!</formula>
    </cfRule>
    <cfRule type="cellIs" dxfId="14" priority="30" operator="between">
      <formula>#REF!</formula>
      <formula>#REF!+#REF!</formula>
    </cfRule>
  </conditionalFormatting>
  <conditionalFormatting sqref="M63">
    <cfRule type="cellIs" dxfId="13" priority="21" operator="between">
      <formula>#REF!+#REF!</formula>
      <formula>#REF!</formula>
    </cfRule>
    <cfRule type="cellIs" dxfId="12" priority="22" operator="between">
      <formula>#REF!</formula>
      <formula>#REF!+#REF!</formula>
    </cfRule>
  </conditionalFormatting>
  <conditionalFormatting sqref="O26">
    <cfRule type="cellIs" dxfId="11" priority="27" operator="between">
      <formula>#REF!+#REF!</formula>
      <formula>#REF!</formula>
    </cfRule>
    <cfRule type="cellIs" dxfId="10" priority="28" operator="between">
      <formula>#REF!</formula>
      <formula>#REF!+#REF!</formula>
    </cfRule>
  </conditionalFormatting>
  <conditionalFormatting sqref="T26">
    <cfRule type="cellIs" dxfId="9" priority="31" operator="between">
      <formula>#REF!+#REF!</formula>
      <formula>#REF!</formula>
    </cfRule>
    <cfRule type="cellIs" dxfId="8" priority="32" operator="between">
      <formula>#REF!</formula>
      <formula>#REF!+#REF!</formula>
    </cfRule>
  </conditionalFormatting>
  <conditionalFormatting sqref="T63">
    <cfRule type="cellIs" dxfId="7" priority="17" operator="between">
      <formula>#REF!+#REF!</formula>
      <formula>#REF!</formula>
    </cfRule>
    <cfRule type="cellIs" dxfId="6" priority="18" operator="between">
      <formula>#REF!</formula>
      <formula>#REF!+#REF!</formula>
    </cfRule>
  </conditionalFormatting>
  <conditionalFormatting sqref="V26">
    <cfRule type="cellIs" dxfId="5" priority="3" operator="between">
      <formula>#REF!+#REF!</formula>
      <formula>#REF!</formula>
    </cfRule>
    <cfRule type="cellIs" dxfId="4" priority="4" operator="between">
      <formula>#REF!</formula>
      <formula>#REF!+#REF!</formula>
    </cfRule>
  </conditionalFormatting>
  <conditionalFormatting sqref="V63">
    <cfRule type="cellIs" dxfId="3" priority="15" operator="between">
      <formula>#REF!+#REF!</formula>
      <formula>#REF!</formula>
    </cfRule>
    <cfRule type="cellIs" dxfId="2" priority="16" operator="between">
      <formula>#REF!</formula>
      <formula>#REF!+#REF!</formula>
    </cfRule>
  </conditionalFormatting>
  <conditionalFormatting sqref="X26">
    <cfRule type="cellIs" dxfId="1" priority="19" operator="between">
      <formula>#REF!+#REF!</formula>
      <formula>#REF!</formula>
    </cfRule>
    <cfRule type="cellIs" dxfId="0" priority="20" operator="between">
      <formula>#REF!</formula>
      <formula>#REF!+#REF!</formula>
    </cfRule>
  </conditionalFormatting>
  <pageMargins left="0.7" right="0.7" top="0.75" bottom="0.75" header="0.3" footer="0.3"/>
  <pageSetup paperSize="8" scale="48" orientation="landscape" r:id="rId1"/>
  <headerFooter>
    <oddFooter>&amp;R&amp;1#&amp;&amp;"Arial"&amp;10&amp;K000000Confidencial C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EE9100DA51FF40974E42CF48E411B5" ma:contentTypeVersion="16" ma:contentTypeDescription="Crée un document." ma:contentTypeScope="" ma:versionID="31dd846b0197a4e9cb08cf1acb373072">
  <xsd:schema xmlns:xsd="http://www.w3.org/2001/XMLSchema" xmlns:xs="http://www.w3.org/2001/XMLSchema" xmlns:p="http://schemas.microsoft.com/office/2006/metadata/properties" xmlns:ns2="2068e5ac-90cb-4bb2-a870-97eb9d43c8e8" xmlns:ns3="0ea31428-c1e7-4441-a7c9-525fe48b0a02" targetNamespace="http://schemas.microsoft.com/office/2006/metadata/properties" ma:root="true" ma:fieldsID="b913dee2e68ebd20853ed3ebf1441b7e" ns2:_="" ns3:_="">
    <xsd:import namespace="2068e5ac-90cb-4bb2-a870-97eb9d43c8e8"/>
    <xsd:import namespace="0ea31428-c1e7-4441-a7c9-525fe48b0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8e5ac-90cb-4bb2-a870-97eb9d43c8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31428-c1e7-4441-a7c9-525fe48b0a0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76afd69-587c-41c5-991e-15a0e6c1d513}" ma:internalName="TaxCatchAll" ma:showField="CatchAllData" ma:web="0ea31428-c1e7-4441-a7c9-525fe48b0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68e5ac-90cb-4bb2-a870-97eb9d43c8e8">
      <Terms xmlns="http://schemas.microsoft.com/office/infopath/2007/PartnerControls"/>
    </lcf76f155ced4ddcb4097134ff3c332f>
    <TaxCatchAll xmlns="0ea31428-c1e7-4441-a7c9-525fe48b0a02" xsi:nil="true"/>
  </documentManagement>
</p:properties>
</file>

<file path=customXml/itemProps1.xml><?xml version="1.0" encoding="utf-8"?>
<ds:datastoreItem xmlns:ds="http://schemas.openxmlformats.org/officeDocument/2006/customXml" ds:itemID="{3694F86E-2BDB-40AE-BC49-F62BC4DDCF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68e5ac-90cb-4bb2-a870-97eb9d43c8e8"/>
    <ds:schemaRef ds:uri="0ea31428-c1e7-4441-a7c9-525fe48b0a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CEE1E8-FF11-49EB-B709-D5CF0CC59F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6B8B83-09EA-42DC-9CFF-FAD0CA51D345}">
  <ds:schemaRefs>
    <ds:schemaRef ds:uri="0ea31428-c1e7-4441-a7c9-525fe48b0a02"/>
    <ds:schemaRef ds:uri="http://purl.org/dc/terms/"/>
    <ds:schemaRef ds:uri="http://schemas.microsoft.com/office/2006/documentManagement/types"/>
    <ds:schemaRef ds:uri="http://schemas.microsoft.com/office/infopath/2007/PartnerControls"/>
    <ds:schemaRef ds:uri="2068e5ac-90cb-4bb2-a870-97eb9d43c8e8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V1000_XDD_M922</vt:lpstr>
      <vt:lpstr>V1000_XDD_M920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HUGUES Pierre-André</dc:creator>
  <cp:keywords/>
  <dc:description/>
  <cp:lastModifiedBy>Windows User</cp:lastModifiedBy>
  <cp:revision/>
  <cp:lastPrinted>2024-02-29T14:37:32Z</cp:lastPrinted>
  <dcterms:created xsi:type="dcterms:W3CDTF">2020-06-24T13:02:45Z</dcterms:created>
  <dcterms:modified xsi:type="dcterms:W3CDTF">2024-02-29T14:38:05Z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0x01010078B9E0C59E862040B2A507DFE0D6410D</vt:lpwstr>
  </property>
  <property fmtid="{D5CDD505-2E9C-101B-9397-08002B2CF9AE}" pid="3" name="MSIP_Label_fd1c0902-ed92-4fed-896d-2e7725de02d4_Enabled">
    <vt:lpwstr>true</vt:lpwstr>
  </property>
  <property fmtid="{D5CDD505-2E9C-101B-9397-08002B2CF9AE}" pid="4" name="MSIP_Label_fd1c0902-ed92-4fed-896d-2e7725de02d4_SetDate">
    <vt:lpwstr>2021-11-18T10:54:49Z</vt:lpwstr>
  </property>
  <property fmtid="{D5CDD505-2E9C-101B-9397-08002B2CF9AE}" pid="5" name="MSIP_Label_fd1c0902-ed92-4fed-896d-2e7725de02d4_Method">
    <vt:lpwstr>Standard</vt:lpwstr>
  </property>
  <property fmtid="{D5CDD505-2E9C-101B-9397-08002B2CF9AE}" pid="6" name="MSIP_Label_fd1c0902-ed92-4fed-896d-2e7725de02d4_Name">
    <vt:lpwstr>Anyone (not protected)</vt:lpwstr>
  </property>
  <property fmtid="{D5CDD505-2E9C-101B-9397-08002B2CF9AE}" pid="7" name="MSIP_Label_fd1c0902-ed92-4fed-896d-2e7725de02d4_SiteId">
    <vt:lpwstr>d6b0bbee-7cd9-4d60-bce6-4a67b543e2ae</vt:lpwstr>
  </property>
  <property fmtid="{D5CDD505-2E9C-101B-9397-08002B2CF9AE}" pid="8" name="MSIP_Label_fd1c0902-ed92-4fed-896d-2e7725de02d4_ActionId">
    <vt:lpwstr>360f5c16-a4f1-4c05-92ab-41c79d00e82c</vt:lpwstr>
  </property>
  <property fmtid="{D5CDD505-2E9C-101B-9397-08002B2CF9AE}" pid="9" name="MSIP_Label_fd1c0902-ed92-4fed-896d-2e7725de02d4_ContentBits">
    <vt:lpwstr>2</vt:lpwstr>
  </property>
  <property fmtid="{D5CDD505-2E9C-101B-9397-08002B2CF9AE}" pid="10" name="MediaServiceImageTags">
    <vt:lpwstr/>
  </property>
</Properties>
</file>